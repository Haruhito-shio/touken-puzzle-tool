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0417\Desktop\touken-puzzle-tool\excel\"/>
    </mc:Choice>
  </mc:AlternateContent>
  <bookViews>
    <workbookView windowWidth="23040" windowHeight="9060"/>
  </bookViews>
  <sheets>
    <sheet name="刀男所需材料" sheetId="1" r:id="rId1"/>
    <sheet name="材料合成" sheetId="2" r:id="rId2"/>
    <sheet name="材料来源" sheetId="3" r:id="rId3"/>
    <sheet name="关卡统计（透视表用）" sheetId="4" r:id="rId4"/>
    <sheet name="其他工具" sheetId="5" r:id="rId5"/>
    <sheet name="留言" sheetId="6" r:id="rId6"/>
  </sheets>
  <definedNames>
    <definedName name="_xlnm._FilterDatabase" localSheetId="0" hidden="1">刀男所需材料!$A$3:$AA$144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tc={87D2831D-B9AF-4EFD-AF2B-857F45201C1B}</author>
    <author>tc={4404ABD0-519B-4C99-B1E2-4ABAEA6D5008}</author>
    <author>tc={B0C09C4E-A3AA-4682-8191-C178215A424B}</author>
    <author>tc={2D613D00-98EB-4D03-9DF6-019235403E18}</author>
  </authors>
  <commentList>
    <comment ref="A2" authorId="0">
      <text>
        <r>
          <rPr>
            <sz val="10"/>
            <rFont val="宋体"/>
            <charset val="134"/>
          </rPr>
          <t>敌人是螃蟹的关卡会更容易掉落，乱舞事件中击败确定掉落</t>
        </r>
      </text>
    </comment>
    <comment ref="G3" authorId="1">
      <text>
        <r>
          <rPr>
            <sz val="10"/>
            <rFont val="宋体"/>
            <charset val="134"/>
          </rPr>
          <t>水几乎必掉</t>
        </r>
      </text>
    </comment>
    <comment ref="E12" authorId="2">
      <text>
        <r>
          <rPr>
            <sz val="10"/>
            <rFont val="宋体"/>
            <charset val="134"/>
          </rPr>
          <t>piya：不要在1-17刷鬼角……我刷到了80多的水，0个鬼角掉落。不过稳定掉水+豆，各自有俩的概率很高</t>
        </r>
      </text>
    </comment>
    <comment ref="A52" authorId="3">
      <text>
        <r>
          <rPr>
            <sz val="10"/>
            <rFont val="宋体"/>
            <charset val="134"/>
          </rPr>
          <t>敌人会生成石头的关卡，击破石头确定掉落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<sst xmlns="http://schemas.openxmlformats.org/spreadsheetml/2006/main" count="1948" uniqueCount="515">
  <si>
    <t>类型</t>
  </si>
  <si>
    <t>刀刀</t>
  </si>
  <si>
    <t>稀有度</t>
  </si>
  <si>
    <t>进阶</t>
  </si>
  <si>
    <t>材料</t>
  </si>
  <si>
    <t>贡献者</t>
  </si>
  <si>
    <t>合成bug：已有的高级素材在升级合成界面不计入统计，必须一次性用足够的一级素材合成足够的高级素材</t>
  </si>
  <si>
    <r>
      <rPr>
        <sz val="10"/>
        <color rgb="FFFFFFFF"/>
        <rFont val="宋体"/>
        <charset val="134"/>
      </rPr>
      <t xml:space="preserve">比如我，纸缺5，需求量10，想着有一把刀快羁绊3了，那... </t>
    </r>
    <r>
      <rPr>
        <u/>
        <sz val="10"/>
        <color rgb="FF175CEB"/>
        <rFont val="宋体"/>
        <charset val="134"/>
      </rPr>
      <t>https://xhslink.cn/o/Vg6kGMX6Xy</t>
    </r>
    <r>
      <rPr>
        <sz val="10"/>
        <color rgb="FFFFFFFF"/>
        <rFont val="宋体"/>
        <charset val="134"/>
      </rPr>
      <t xml:space="preserve"> 
留住这段口令，去【小红书】瞅瞅笔记~</t>
    </r>
  </si>
  <si>
    <t>（例：需求纸10，已有纸8的合成素材和纸5，合成后会变成8/10和5/10，需要刷够纸10的素材合成才能达成10/10）</t>
  </si>
  <si>
    <t>by小红书@Miyu</t>
  </si>
  <si>
    <t>大
太
刀</t>
  </si>
  <si>
    <t>太郎太刀</t>
  </si>
  <si>
    <t>普</t>
  </si>
  <si>
    <t>10-&gt;20</t>
  </si>
  <si>
    <t>叶子x2</t>
  </si>
  <si>
    <t>大豆x2</t>
  </si>
  <si>
    <t>神秘的审神者</t>
  </si>
  <si>
    <t>20-&gt;30</t>
  </si>
  <si>
    <t>臼与杵x2</t>
  </si>
  <si>
    <t>树枝x2</t>
  </si>
  <si>
    <t>打火石x2</t>
  </si>
  <si>
    <t>年下阴角激推</t>
  </si>
  <si>
    <t>30-&gt;35</t>
  </si>
  <si>
    <t>黄色颜料x1</t>
  </si>
  <si>
    <t>茶碗×2</t>
  </si>
  <si>
    <t>围棋x2</t>
  </si>
  <si>
    <t>味增汤x2</t>
  </si>
  <si>
    <t>锄头×2</t>
  </si>
  <si>
    <t>大太刀的心得x1</t>
  </si>
  <si>
    <t>彩</t>
  </si>
  <si>
    <t>桃子x1</t>
  </si>
  <si>
    <t>大豆x1</t>
  </si>
  <si>
    <t>lotus</t>
  </si>
  <si>
    <t>花蜜x2</t>
  </si>
  <si>
    <t>木材x2</t>
  </si>
  <si>
    <t>茶碗x4</t>
  </si>
  <si>
    <t>锄头x2</t>
  </si>
  <si>
    <t>金乌</t>
  </si>
  <si>
    <t>次郎太刀</t>
  </si>
  <si>
    <t>水x2</t>
  </si>
  <si>
    <t>文州</t>
  </si>
  <si>
    <t>红色颜料x1</t>
  </si>
  <si>
    <t>双六x2</t>
  </si>
  <si>
    <t>花札x2</t>
  </si>
  <si>
    <t>味增汤</t>
  </si>
  <si>
    <t>piya</t>
  </si>
  <si>
    <t>石切丸</t>
  </si>
  <si>
    <t>rining</t>
  </si>
  <si>
    <t>麦x2</t>
  </si>
  <si>
    <t>木材X2</t>
  </si>
  <si>
    <t>蓝色颜料×1</t>
  </si>
  <si>
    <t>书写道具×2</t>
  </si>
  <si>
    <t>围棋×2</t>
  </si>
  <si>
    <t>双色牡丹饼×2</t>
  </si>
  <si>
    <t>大太刀的心得×1</t>
  </si>
  <si>
    <t>求求你不要再熬夜了</t>
  </si>
  <si>
    <t>萤丸</t>
  </si>
  <si>
    <t>风骅</t>
  </si>
  <si>
    <t>蓬松的毛x2</t>
  </si>
  <si>
    <t>大米</t>
  </si>
  <si>
    <t>黄油面包刀</t>
  </si>
  <si>
    <t>太
刀</t>
  </si>
  <si>
    <t>三日月宗近</t>
  </si>
  <si>
    <t>纸x2</t>
  </si>
  <si>
    <t>花x4</t>
  </si>
  <si>
    <t>茶碗x2</t>
  </si>
  <si>
    <t>双色牡丹饼x2</t>
  </si>
  <si>
    <t>算盘x2</t>
  </si>
  <si>
    <t>太刀的心得x1</t>
  </si>
  <si>
    <t>水x1</t>
  </si>
  <si>
    <t>方块硫酸银</t>
  </si>
  <si>
    <t>纸×2</t>
  </si>
  <si>
    <t>水×4</t>
  </si>
  <si>
    <t>骰子×4</t>
  </si>
  <si>
    <t>花×2</t>
  </si>
  <si>
    <t>yukino</t>
  </si>
  <si>
    <t>团子x2</t>
  </si>
  <si>
    <t>yui（歇菜版）</t>
  </si>
  <si>
    <t>小狐丸</t>
  </si>
  <si>
    <t>水x4</t>
  </si>
  <si>
    <t>想有一个糖罐</t>
  </si>
  <si>
    <t>一期一振</t>
  </si>
  <si>
    <t>黄色颜料×1</t>
  </si>
  <si>
    <t>双六×2</t>
  </si>
  <si>
    <t>花札×2</t>
  </si>
  <si>
    <t>算盘×2</t>
  </si>
  <si>
    <t>太刀的心得×1</t>
  </si>
  <si>
    <t>带骨肉×1</t>
  </si>
  <si>
    <t>蓬松的毛×1</t>
  </si>
  <si>
    <t>mo陌mo</t>
  </si>
  <si>
    <t>大豆x4</t>
  </si>
  <si>
    <t>木材x4</t>
  </si>
  <si>
    <t>烛台切光忠</t>
  </si>
  <si>
    <t>莺丸</t>
  </si>
  <si>
    <t>蓝色颜料x1</t>
  </si>
  <si>
    <t>面包x2</t>
  </si>
  <si>
    <t>鹤丸国永</t>
  </si>
  <si>
    <t>蓬松的毛x4</t>
  </si>
  <si>
    <t>🍬</t>
  </si>
  <si>
    <t>狮子王</t>
  </si>
  <si>
    <t>大米x2</t>
  </si>
  <si>
    <t>江雪左文字</t>
  </si>
  <si>
    <t xml:space="preserve">          </t>
  </si>
  <si>
    <t>被十个生物关注就会吓到踩高跷逃跑的两脚兽</t>
  </si>
  <si>
    <t>山伏国广</t>
  </si>
  <si>
    <t>书写道具x2</t>
  </si>
  <si>
    <t>无限冰羽</t>
  </si>
  <si>
    <t>打
刀</t>
  </si>
  <si>
    <t>歌仙兼定</t>
  </si>
  <si>
    <t>麦x4</t>
  </si>
  <si>
    <t>做法天保实装</t>
  </si>
  <si>
    <t>打刀的心得x1</t>
  </si>
  <si>
    <t>蛋×1</t>
  </si>
  <si>
    <t>叶子x1</t>
  </si>
  <si>
    <t>叶子x6</t>
  </si>
  <si>
    <t>花x2</t>
  </si>
  <si>
    <t>宗三左文字</t>
  </si>
  <si>
    <t>压切长谷部</t>
  </si>
  <si>
    <t>苦笑</t>
  </si>
  <si>
    <t>加州清光</t>
  </si>
  <si>
    <t>天妇罗x2</t>
  </si>
  <si>
    <t>氵舀</t>
  </si>
  <si>
    <t>大和守安定</t>
  </si>
  <si>
    <t>臼与杵×2</t>
  </si>
  <si>
    <t>蓬松的毛×2</t>
  </si>
  <si>
    <t>打火石×2</t>
  </si>
  <si>
    <t>和泉守兼定</t>
  </si>
  <si>
    <t>乌七</t>
  </si>
  <si>
    <t>红色颜料×1</t>
  </si>
  <si>
    <t>天妇罗×2</t>
  </si>
  <si>
    <t>打刀的心得×1</t>
  </si>
  <si>
    <t>晞木染</t>
  </si>
  <si>
    <t>陆奥守吉行</t>
  </si>
  <si>
    <t>辣椒糖本糖</t>
  </si>
  <si>
    <t>山姥切国广</t>
  </si>
  <si>
    <t>麦×2</t>
  </si>
  <si>
    <t>书写道具x1</t>
  </si>
  <si>
    <t>大俱利伽罗</t>
  </si>
  <si>
    <t>同田贯正国</t>
  </si>
  <si>
    <t>蜂须贺虎彻</t>
  </si>
  <si>
    <t>鸣狐</t>
  </si>
  <si>
    <t>胁
差</t>
  </si>
  <si>
    <t>笑面青江</t>
  </si>
  <si>
    <t>胁差的心得x1</t>
  </si>
  <si>
    <t>鲶尾藤四郎</t>
  </si>
  <si>
    <t>卷尾雀在日环食时飞起</t>
  </si>
  <si>
    <t>骨喰藤四郎</t>
  </si>
  <si>
    <t>味增汤×2</t>
  </si>
  <si>
    <t>胁差的心得×1</t>
  </si>
  <si>
    <t>堀川国广</t>
  </si>
  <si>
    <t>水×2</t>
  </si>
  <si>
    <t>希拉</t>
  </si>
  <si>
    <t>算盘x1</t>
  </si>
  <si>
    <t>短
刀</t>
  </si>
  <si>
    <t>乱藤四郎</t>
  </si>
  <si>
    <t>木材×1</t>
  </si>
  <si>
    <t>骰子x4</t>
  </si>
  <si>
    <t>锄头x4</t>
  </si>
  <si>
    <t>短刀的心得x1</t>
  </si>
  <si>
    <t>小夜左文字</t>
  </si>
  <si>
    <t>爱染国俊</t>
  </si>
  <si>
    <t>木材×2</t>
  </si>
  <si>
    <t>今剑</t>
  </si>
  <si>
    <t>平野藤四郎</t>
  </si>
  <si>
    <t>厚藤四郎</t>
  </si>
  <si>
    <t>短刀的心得×1</t>
  </si>
  <si>
    <t>前田藤四郎</t>
  </si>
  <si>
    <t>秋田藤四郎</t>
  </si>
  <si>
    <t>邪恶奶黄包是什么</t>
  </si>
  <si>
    <t>是什么</t>
  </si>
  <si>
    <t>五虎退</t>
  </si>
  <si>
    <t>花蜜×2</t>
  </si>
  <si>
    <t>树枝×2</t>
  </si>
  <si>
    <t>团子×2</t>
  </si>
  <si>
    <t>药研藤四郎</t>
  </si>
  <si>
    <t>AAA团子量产批发商</t>
  </si>
  <si>
    <t>枪</t>
  </si>
  <si>
    <t>御手杵</t>
  </si>
  <si>
    <t>叶子×2</t>
  </si>
  <si>
    <t>蜻蛉切</t>
  </si>
  <si>
    <t>枪的心得x1</t>
  </si>
  <si>
    <t>薙
刀</t>
  </si>
  <si>
    <t>岩融</t>
  </si>
  <si>
    <t>薙刀的心得x1</t>
  </si>
  <si>
    <t>中文名</t>
  </si>
  <si>
    <t>材料名</t>
  </si>
  <si>
    <t>合成材料</t>
  </si>
  <si>
    <t>数量</t>
  </si>
  <si>
    <t>链接(excel可直接跳转)</t>
  </si>
  <si>
    <t>这里是单个材料的合成数量，游戏里显示是多个的需求量，记得除一下</t>
  </si>
  <si>
    <t>茶碗</t>
  </si>
  <si>
    <t>お茶碗</t>
  </si>
  <si>
    <t>お椀</t>
  </si>
  <si>
    <r>
      <rPr>
        <u/>
        <sz val="11"/>
        <color rgb="FF0563C1"/>
        <rFont val="等线"/>
        <charset val="134"/>
      </rPr>
      <t>合成-&gt;</t>
    </r>
  </si>
  <si>
    <t>鉄</t>
  </si>
  <si>
    <r>
      <rPr>
        <u/>
        <sz val="11"/>
        <color rgb="FF0563C1"/>
        <rFont val="等线"/>
        <charset val="134"/>
      </rPr>
      <t>前往-&gt;</t>
    </r>
  </si>
  <si>
    <t>火打ち石</t>
  </si>
  <si>
    <t>小判</t>
  </si>
  <si>
    <t>围棋</t>
  </si>
  <si>
    <t>囲碁</t>
  </si>
  <si>
    <t>丸太</t>
  </si>
  <si>
    <t>獣の牙</t>
  </si>
  <si>
    <t>ウロコ</t>
  </si>
  <si>
    <t>双色牡丹饼</t>
  </si>
  <si>
    <t>二色おはぎ</t>
  </si>
  <si>
    <t>お米</t>
  </si>
  <si>
    <t>塩</t>
  </si>
  <si>
    <t>大豆</t>
  </si>
  <si>
    <t>花の蜜</t>
  </si>
  <si>
    <t>算盘</t>
  </si>
  <si>
    <t>そろばん</t>
  </si>
  <si>
    <t>とんかち</t>
  </si>
  <si>
    <t>木の枝</t>
  </si>
  <si>
    <t>太刀的心得</t>
  </si>
  <si>
    <t>太刀の心得</t>
  </si>
  <si>
    <t>紙</t>
  </si>
  <si>
    <t>筆</t>
  </si>
  <si>
    <t>みかげ石</t>
  </si>
  <si>
    <t>花札</t>
  </si>
  <si>
    <t>お花</t>
  </si>
  <si>
    <t>サンゴ</t>
  </si>
  <si>
    <t>团子</t>
  </si>
  <si>
    <t>お団子</t>
  </si>
  <si>
    <t>葉っぱ</t>
  </si>
  <si>
    <t>桃</t>
  </si>
  <si>
    <t>锄头</t>
  </si>
  <si>
    <t>鍬</t>
  </si>
  <si>
    <t>打刀的心得</t>
  </si>
  <si>
    <t>打刀の心得</t>
  </si>
  <si>
    <t>鬼のツノ</t>
  </si>
  <si>
    <t>碗</t>
  </si>
  <si>
    <t>粘土</t>
  </si>
  <si>
    <t>花蜜</t>
  </si>
  <si>
    <t>水</t>
  </si>
  <si>
    <t>锤子</t>
  </si>
  <si>
    <t>纸</t>
  </si>
  <si>
    <t>笔</t>
  </si>
  <si>
    <t>ふさふさの毛</t>
  </si>
  <si>
    <t>大太刀的心得</t>
  </si>
  <si>
    <t>大太刀の心得</t>
  </si>
  <si>
    <t>トラの毛皮</t>
  </si>
  <si>
    <t>臼与杵</t>
  </si>
  <si>
    <t>臼と杵</t>
  </si>
  <si>
    <t>绿子roman</t>
  </si>
  <si>
    <t>书写道具</t>
  </si>
  <si>
    <t>書き物道具</t>
  </si>
  <si>
    <t>ろうそく</t>
  </si>
  <si>
    <t>薙刀的心得</t>
  </si>
  <si>
    <t>薙刀の心得</t>
  </si>
  <si>
    <t>天妇罗</t>
  </si>
  <si>
    <t>天ぷら</t>
  </si>
  <si>
    <t>油</t>
  </si>
  <si>
    <t>お魚</t>
  </si>
  <si>
    <t>卵</t>
  </si>
  <si>
    <t>麦</t>
  </si>
  <si>
    <t>枪的心得</t>
  </si>
  <si>
    <t>槍の心得</t>
  </si>
  <si>
    <t>双六</t>
  </si>
  <si>
    <t>すごろく</t>
  </si>
  <si>
    <t>サイコロ</t>
  </si>
  <si>
    <t>手旗</t>
  </si>
  <si>
    <t>お味噌汁</t>
  </si>
  <si>
    <t>味噌</t>
  </si>
  <si>
    <t>昆布</t>
  </si>
  <si>
    <t>短刀的心得</t>
  </si>
  <si>
    <t>短刀の心得</t>
  </si>
  <si>
    <r>
      <rPr>
        <u/>
        <sz val="10"/>
        <color rgb="FF175CEB"/>
        <rFont val="宋体"/>
        <charset val="134"/>
      </rPr>
      <t>合成-&gt;</t>
    </r>
  </si>
  <si>
    <r>
      <rPr>
        <u/>
        <sz val="10"/>
        <color rgb="FF175CEB"/>
        <rFont val="宋体"/>
        <charset val="134"/>
      </rPr>
      <t>前往-&gt;</t>
    </r>
  </si>
  <si>
    <t>味增</t>
  </si>
  <si>
    <t>胁差的心得</t>
  </si>
  <si>
    <t>脇差の心得</t>
  </si>
  <si>
    <t>真珠貝</t>
  </si>
  <si>
    <t>面包</t>
  </si>
  <si>
    <t>あんぱん</t>
  </si>
  <si>
    <t>缺德冒烟真君</t>
  </si>
  <si>
    <t>关卡</t>
  </si>
  <si>
    <t>材料
种类</t>
  </si>
  <si>
    <t>掉落材料</t>
  </si>
  <si>
    <t>注：鉴于第一章的关卡的爆率比第三章关卡高，所以在这里标黄了适合给刀练级的关卡</t>
  </si>
  <si>
    <t>2-6</t>
  </si>
  <si>
    <t>无标注的掉落注释信息来源于小红书@Yayoty转载的樱花妹分享</t>
  </si>
  <si>
    <t>掉落概率</t>
  </si>
  <si>
    <t>2-7</t>
  </si>
  <si>
    <t>2-26</t>
  </si>
  <si>
    <t>/</t>
  </si>
  <si>
    <t>水、花、打火石、树枝、蓬松的毛、带骨肉等等</t>
  </si>
  <si>
    <t>一次性关卡
不完成任务解锁下一张图的话可多次刷素材</t>
  </si>
  <si>
    <r>
      <rPr>
        <sz val="10"/>
        <color rgb="FF000000"/>
        <rFont val="微软雅黑"/>
        <charset val="134"/>
      </rPr>
      <t>我发现这关刷资源好用</t>
    </r>
    <r>
      <rPr>
        <sz val="10"/>
        <color rgb="FF000000"/>
        <rFont val="微软雅黑"/>
        <charset val="134"/>
      </rPr>
      <t xml:space="preserve"> 2-26这是一次性关卡，掉落物很... </t>
    </r>
    <r>
      <rPr>
        <u/>
        <sz val="10"/>
        <color rgb="FF175CEB"/>
        <rFont val="微软雅黑"/>
        <charset val="134"/>
      </rPr>
      <t>https://xhslink.cn/o/5O52f1ikM3k</t>
    </r>
    <r>
      <rPr>
        <sz val="10"/>
        <color rgb="FF000000"/>
        <rFont val="微软雅黑"/>
        <charset val="134"/>
      </rPr>
      <t xml:space="preserve"> 
带走口令，来【小红书】发现精彩~</t>
    </r>
  </si>
  <si>
    <t>2-11</t>
  </si>
  <si>
    <t>（小红书贡献者ID为空……）</t>
  </si>
  <si>
    <t>3-12</t>
  </si>
  <si>
    <t>1-02</t>
  </si>
  <si>
    <t>水、叶子、桃子</t>
  </si>
  <si>
    <t>水、葉っぱ、桃</t>
  </si>
  <si>
    <t>稳定水、叶子</t>
  </si>
  <si>
    <t>Heftig</t>
  </si>
  <si>
    <t>3-21</t>
  </si>
  <si>
    <t>1-04</t>
  </si>
  <si>
    <t>木材、大豆、蓬松的毛、带骨肉、蛋</t>
  </si>
  <si>
    <t>丸太、大豆、ふさふさの毛、骨付き肉、卵</t>
  </si>
  <si>
    <t>高概率毛</t>
  </si>
  <si>
    <t>打火石</t>
  </si>
  <si>
    <t>2-16</t>
  </si>
  <si>
    <t>1-07</t>
  </si>
  <si>
    <t>木材、叶子、麦</t>
  </si>
  <si>
    <t>丸太、葉っぱ、麦</t>
  </si>
  <si>
    <t>2-22</t>
  </si>
  <si>
    <t>1-09</t>
  </si>
  <si>
    <t>大豆、水、桃子</t>
  </si>
  <si>
    <t>大豆、水、桃</t>
  </si>
  <si>
    <t>3-19</t>
  </si>
  <si>
    <t>1-11</t>
  </si>
  <si>
    <t>蓬松的毛、麦、带骨肉</t>
  </si>
  <si>
    <t>ふさふさの毛、麦、骨付き肉</t>
  </si>
  <si>
    <t>3-31</t>
  </si>
  <si>
    <t>1-12</t>
  </si>
  <si>
    <t>木材、兽牙、蓬松的毛、虎皮、麦</t>
  </si>
  <si>
    <t>丸太、獣の牙、ふさふさの毛、トラの毛皮、麦</t>
  </si>
  <si>
    <t>木材</t>
  </si>
  <si>
    <t>1-4</t>
  </si>
  <si>
    <t>1-13</t>
  </si>
  <si>
    <t>大豆、叶子、蛋</t>
  </si>
  <si>
    <t>大豆、葉っぱ、卵</t>
  </si>
  <si>
    <t>1-7</t>
  </si>
  <si>
    <t>1-17</t>
  </si>
  <si>
    <t>大豆、水、鬼的角、虎皮</t>
  </si>
  <si>
    <t>大豆、水、鬼のツノ、トラの毛皮</t>
  </si>
  <si>
    <t>稳定水和豆，鬼角稀少</t>
  </si>
  <si>
    <t>Piya</t>
  </si>
  <si>
    <t>2-02</t>
  </si>
  <si>
    <t>大米、大豆</t>
  </si>
  <si>
    <t>お米、大豆</t>
  </si>
  <si>
    <t>2-05</t>
  </si>
  <si>
    <t>铁、带骨肉</t>
  </si>
  <si>
    <t>鉄、骨付き肉</t>
  </si>
  <si>
    <t>必掉铁</t>
  </si>
  <si>
    <t>2-25</t>
  </si>
  <si>
    <t>2-06</t>
  </si>
  <si>
    <t>粘土、树枝、水、鱼</t>
  </si>
  <si>
    <t>粘土、木の枝、水、お魚</t>
  </si>
  <si>
    <t>必掉鱼</t>
  </si>
  <si>
    <t>感受到了怨念和痛苦</t>
  </si>
  <si>
    <t>2-07</t>
  </si>
  <si>
    <t>粘土、水、油、鱼</t>
  </si>
  <si>
    <t>粘土、水、油、お魚</t>
  </si>
  <si>
    <t>兽牙</t>
  </si>
  <si>
    <t>粘土、水、鱼</t>
  </si>
  <si>
    <t>粘土、水、お魚</t>
  </si>
  <si>
    <t>还是必掉鱼</t>
  </si>
  <si>
    <t>2-27</t>
  </si>
  <si>
    <t>2-12</t>
  </si>
  <si>
    <t>铁、大米、大豆、鱼、蛋</t>
  </si>
  <si>
    <t>鉄、お米、大豆、お魚、卵</t>
  </si>
  <si>
    <t>3-26</t>
  </si>
  <si>
    <t>打火石、木材、树枝、骰子</t>
  </si>
  <si>
    <t>火打ち石、丸太、木の枝、サイコロ</t>
  </si>
  <si>
    <t>铁</t>
  </si>
  <si>
    <t>2-5</t>
  </si>
  <si>
    <t>2-19</t>
  </si>
  <si>
    <t>大米、蓬松的毛、带骨肉</t>
  </si>
  <si>
    <t>お米、ふさふさの毛、骨付き肉</t>
  </si>
  <si>
    <t>打火石、树枝、御影石、蜡烛</t>
  </si>
  <si>
    <t>火打ち石、木の枝、みかげ石、ろうそく</t>
  </si>
  <si>
    <t>3-4</t>
  </si>
  <si>
    <t>2-24</t>
  </si>
  <si>
    <t>御影石、骰子、蜡烛、鱼</t>
  </si>
  <si>
    <t>みかげ石、サイコロ、ろうそく、お魚</t>
  </si>
  <si>
    <t>多骰子</t>
  </si>
  <si>
    <t>3-7</t>
  </si>
  <si>
    <t>木材、树枝、花</t>
  </si>
  <si>
    <t>丸太、木の枝、お花</t>
  </si>
  <si>
    <t>砍断6根木材必掉木材，多树枝</t>
  </si>
  <si>
    <t>zznatsu</t>
  </si>
  <si>
    <t>3-33</t>
  </si>
  <si>
    <t>兽牙、水、鬼的角、虎皮</t>
  </si>
  <si>
    <t>獣の牙、水、鬼のツノ、トラの毛皮</t>
  </si>
  <si>
    <t>鳞片</t>
  </si>
  <si>
    <t>3-24</t>
  </si>
  <si>
    <t>2-29</t>
  </si>
  <si>
    <t>蓬松的毛、发绳</t>
  </si>
  <si>
    <t>ふさふさの毛、元結</t>
  </si>
  <si>
    <t>3-35</t>
  </si>
  <si>
    <t>3-02</t>
  </si>
  <si>
    <t>大米、盐、水、蚌、海带</t>
  </si>
  <si>
    <t>お米、塩、水、真珠貝、昆布</t>
  </si>
  <si>
    <t>2-2</t>
  </si>
  <si>
    <t>3-04</t>
  </si>
  <si>
    <t>铁、御影石、蚌、油、螺丝</t>
  </si>
  <si>
    <t>鉄、みかげ石、真珠貝、油、ネジ</t>
  </si>
  <si>
    <t>3-07</t>
  </si>
  <si>
    <t>铁、大米、御影石、花、桃子、蚌</t>
  </si>
  <si>
    <t>鉄、お米、みかげ石、お花、桃、真珠貝</t>
  </si>
  <si>
    <t>3-09</t>
  </si>
  <si>
    <t>大豆、蚌、手旗、麦</t>
  </si>
  <si>
    <t>大豆、真珠貝、手旗、麦</t>
  </si>
  <si>
    <t>3-2</t>
  </si>
  <si>
    <t>粘土、木材、树枝、手旗</t>
  </si>
  <si>
    <t>粘土、丸太、木の枝、手旗</t>
  </si>
  <si>
    <t>高概率树枝</t>
  </si>
  <si>
    <t>3-14</t>
  </si>
  <si>
    <t>手旗、虎皮、骰子</t>
  </si>
  <si>
    <t>手旗、トラの毛皮、サイコロ</t>
  </si>
  <si>
    <t>高概率骰子</t>
  </si>
  <si>
    <t>3-17</t>
  </si>
  <si>
    <t>大豆、水、珊瑚、蚌、蟹钳、海带</t>
  </si>
  <si>
    <t>大豆、水、サンゴ、真珠貝、カニのはさみ、昆布</t>
  </si>
  <si>
    <t>盐</t>
  </si>
  <si>
    <t>打火石、蜡烛</t>
  </si>
  <si>
    <t>火打ち石、ろうそく</t>
  </si>
  <si>
    <t>boss高概率/必掉打火石</t>
  </si>
  <si>
    <t>粘土、御影石、桃子、蟹钳</t>
  </si>
  <si>
    <t>粘土、みかげ石、桃、カニのはさみ</t>
  </si>
  <si>
    <t>高概率黏土</t>
  </si>
  <si>
    <t>鳞片、盐、珊瑚、叶子、桃子、鱼</t>
  </si>
  <si>
    <t>ウロコ、塩、サンゴ、葉っぱ、桃、お魚</t>
  </si>
  <si>
    <t>稳定叶子，高概率叶子x2和盐</t>
  </si>
  <si>
    <t>3-29</t>
  </si>
  <si>
    <t>兽牙、大米、盐、水、海带</t>
  </si>
  <si>
    <t>盐、御影石、珊瑚、蟹钳、海带</t>
  </si>
  <si>
    <t>塩、みかげ石、サンゴ、カニのはさみ、昆布</t>
  </si>
  <si>
    <t>獣の牙、お米、塩、水、昆布</t>
  </si>
  <si>
    <t>打火石几乎必掉</t>
  </si>
  <si>
    <t>铁、盐、油、螺丝</t>
  </si>
  <si>
    <t>鉄、塩、油、ネジ</t>
  </si>
  <si>
    <t>鳞片、盐、珊瑚、羽衣</t>
  </si>
  <si>
    <t>ウロコ、塩、サンゴ、羽衣</t>
  </si>
  <si>
    <t>1-9</t>
  </si>
  <si>
    <t>3-9</t>
  </si>
  <si>
    <t>树枝</t>
  </si>
  <si>
    <t>御影石</t>
  </si>
  <si>
    <t>花</t>
  </si>
  <si>
    <t>1-2</t>
  </si>
  <si>
    <t>蓬松
的毛</t>
  </si>
  <si>
    <t>ふさふさ
の毛</t>
  </si>
  <si>
    <t>珊瑚</t>
  </si>
  <si>
    <t>叶子</t>
  </si>
  <si>
    <t>桃子</t>
  </si>
  <si>
    <t>鬼的角</t>
  </si>
  <si>
    <t>蚌</t>
  </si>
  <si>
    <t>虎皮</t>
  </si>
  <si>
    <t>トラの
毛皮</t>
  </si>
  <si>
    <t>骰子</t>
  </si>
  <si>
    <t>蟹钳</t>
  </si>
  <si>
    <t>カニの
はさみ</t>
  </si>
  <si>
    <t>海带</t>
  </si>
  <si>
    <t>螺丝</t>
  </si>
  <si>
    <t>ネジ</t>
  </si>
  <si>
    <t>蜡烛</t>
  </si>
  <si>
    <t>带骨肉</t>
  </si>
  <si>
    <t>骨付き肉</t>
  </si>
  <si>
    <t xml:space="preserve"> 鱼</t>
  </si>
  <si>
    <t>蛋</t>
  </si>
  <si>
    <t>发绳</t>
  </si>
  <si>
    <t>元結</t>
  </si>
  <si>
    <t>羽衣</t>
  </si>
  <si>
    <t>行标签</t>
  </si>
  <si>
    <t>计数项:材料</t>
  </si>
  <si>
    <t>(空白)</t>
  </si>
  <si>
    <t>总计</t>
  </si>
  <si>
    <t>蓬松的毛</t>
  </si>
  <si>
    <t>カニのはさみ</t>
  </si>
  <si>
    <t>刀消养成计算器</t>
  </si>
  <si>
    <r>
      <rPr>
        <u/>
        <sz val="11"/>
        <color rgb="FF175CEB"/>
        <rFont val="宋体"/>
        <charset val="134"/>
      </rPr>
      <t>https://sotosakiyuuko.github.io/pazugiri-calculator/</t>
    </r>
  </si>
  <si>
    <t>全部角色奥义、绘马预览
26.9.28</t>
  </si>
  <si>
    <r>
      <rPr>
        <sz val="11"/>
        <color rgb="FF000000"/>
        <rFont val="宋体"/>
        <charset val="134"/>
      </rPr>
      <t>刀剑消消乐角色奥义及绘马特效</t>
    </r>
    <r>
      <rPr>
        <sz val="11"/>
        <color rgb="FF000000"/>
        <rFont val="宋体"/>
        <charset val="134"/>
      </rPr>
      <t xml:space="preserve"> 那个角色预览bug怎么还... </t>
    </r>
    <r>
      <rPr>
        <u/>
        <sz val="11"/>
        <color rgb="FF175CEB"/>
        <rFont val="宋体"/>
        <charset val="134"/>
      </rPr>
      <t>https://xhslink.cn/o/4IKvakTtmP4</t>
    </r>
    <r>
      <rPr>
        <sz val="11"/>
        <color rgb="FF000000"/>
        <rFont val="宋体"/>
        <charset val="134"/>
      </rPr>
      <t xml:space="preserve"> 
先复制一下，再到【小红书】打开查看笔记。</t>
    </r>
  </si>
  <si>
    <t>如果求到作者授权就新开一页把图片都贴进来可以吗</t>
  </si>
  <si>
    <t>我试试</t>
  </si>
  <si>
    <t>我之前发了评论申请作者没理我TWT</t>
  </si>
  <si>
    <t>刀消素材掉落
概率统计</t>
  </si>
  <si>
    <r>
      <rPr>
        <sz val="11"/>
        <color rgb="FF000000"/>
        <rFont val="宋体"/>
        <charset val="134"/>
      </rPr>
      <t>【搬运】刀剑乱舞消消乐材料掉落规律</t>
    </r>
    <r>
      <rPr>
        <sz val="11"/>
        <color rgb="FF000000"/>
        <rFont val="宋体"/>
        <charset val="134"/>
      </rPr>
      <t xml:space="preserve"> 上推特发现有yhm... </t>
    </r>
    <r>
      <rPr>
        <u/>
        <sz val="11"/>
        <color rgb="FF175CEB"/>
        <rFont val="宋体"/>
        <charset val="134"/>
      </rPr>
      <t>https://xhslink.cn/o/8iMa8Q9jG2g</t>
    </r>
    <r>
      <rPr>
        <sz val="11"/>
        <color rgb="FF000000"/>
        <rFont val="宋体"/>
        <charset val="134"/>
      </rPr>
      <t xml:space="preserve"> 
拷走文字，去【小红书】探索这篇笔记~</t>
    </r>
  </si>
  <si>
    <r>
      <rPr>
        <sz val="11"/>
        <color rgb="FF000000"/>
        <rFont val="宋体"/>
        <charset val="134"/>
      </rPr>
      <t>我发现这关刷资源好用</t>
    </r>
    <r>
      <rPr>
        <sz val="11"/>
        <color rgb="FF000000"/>
        <rFont val="宋体"/>
        <charset val="134"/>
      </rPr>
      <t xml:space="preserve"> 2-26这是一次性关卡，掉落物很... </t>
    </r>
    <r>
      <rPr>
        <u/>
        <sz val="11"/>
        <color rgb="FF175CEB"/>
        <rFont val="宋体"/>
        <charset val="134"/>
      </rPr>
      <t>https://xhslink.cn/o/5O52f1ikM3k</t>
    </r>
    <r>
      <rPr>
        <sz val="11"/>
        <color rgb="FF000000"/>
        <rFont val="宋体"/>
        <charset val="134"/>
      </rPr>
      <t xml:space="preserve"> 
带走口令，来【小红书】发现精彩~</t>
    </r>
  </si>
  <si>
    <t>刀消素材掉落查找工具</t>
  </si>
  <si>
    <r>
      <rPr>
        <u/>
        <sz val="11"/>
        <color rgb="FF175CEB"/>
        <rFont val="宋体"/>
        <charset val="134"/>
      </rPr>
      <t>https://airrodsushi.wpcomstaging.com/</t>
    </r>
    <r>
      <rPr>
        <u/>
        <sz val="11"/>
        <color rgb="FF175CEB"/>
        <rFont val="宋体"/>
        <charset val="134"/>
      </rPr>
      <t>自用消消樂素材存檔/</t>
    </r>
  </si>
  <si>
    <t>本表格统一性校验工具2025.9.28（也直观看原材料、合成物品的中日对照表）</t>
  </si>
  <si>
    <r>
      <rPr>
        <u/>
        <sz val="11"/>
        <color rgb="FF175CEB"/>
        <rFont val="宋体"/>
        <charset val="134"/>
      </rPr>
      <t>https://haruhito-shio.github.io/touken-check/?v=1</t>
    </r>
  </si>
  <si>
    <t>太厉害了………………</t>
  </si>
  <si>
    <t>多功能材料计算器v2.2.0</t>
  </si>
  <si>
    <r>
      <rPr>
        <u/>
        <sz val="11"/>
        <color rgb="FF175CEB"/>
        <rFont val="宋体"/>
        <charset val="134"/>
      </rPr>
      <t>https://haruhito-shio.github.io/touken-puzzle-tool/</t>
    </r>
    <r>
      <rPr>
        <sz val="11"/>
        <color rgb="FF000000"/>
        <rFont val="宋体"/>
        <charset val="134"/>
      </rPr>
      <t xml:space="preserve">
碎碎念：希望后续格式不要大改吧（</t>
    </r>
    <r>
      <rPr>
        <sz val="11"/>
        <color rgb="FF000000"/>
        <rFont val="宋体"/>
        <charset val="134"/>
      </rPr>
      <t xml:space="preserve">
数据已更新至9.30表格版本</t>
    </r>
  </si>
  <si>
    <t>练刀材料自动计算，空值提示</t>
  </si>
  <si>
    <t>背包库存管理，查看材料缺口</t>
  </si>
  <si>
    <t>材料刷取关卡快速查询</t>
  </si>
  <si>
    <t>太厉害了………………【跪下</t>
  </si>
  <si>
    <t>合成拆解，统计材料与小判消耗</t>
  </si>
  <si>
    <t>多选批量操作，数据导出备份</t>
  </si>
  <si>
    <t>彩蛋：本丸今日运势，每日抽取运势事件</t>
  </si>
  <si>
    <t>感谢各位同事的支持！统计表ver0.1版本已经完善了很多了，这里放一个版留言吧。</t>
  </si>
  <si>
    <t>有一些在帖子评论里发截图的同事，我输进表格里并附上了红薯id，直接编辑的同事也可以在贡献者一栏留下自己的名字！</t>
  </si>
  <si>
    <t>我还没想好这个表格要是做好了应该怎么保存下去，做wiki或者小程序或者qq机器人都可以吧。反正数据已经开源了，转载的同事记得表明出处</t>
  </si>
  <si>
    <t>ver0.2版本已经完工！完善了第三章之前所有的关卡掉落。刀男突破材料和材料合成部分还需要完善。</t>
  </si>
  <si>
    <t>我基于电脑显示效果整理了表格格式，如果有什么优化建议请留言给我~</t>
  </si>
  <si>
    <t>黄改成普是不是好些？毕竟角色本身还有红黄蓝的属性</t>
  </si>
  <si>
    <t>也是哦，那就改吧</t>
  </si>
  <si>
    <t>要命了想给刀刀补个充电颜色结果被藤四郎军团击倒了成为了笑话</t>
  </si>
  <si>
    <t>一雪前耻！</t>
  </si>
  <si>
    <t>薙刀合成的书写道具数据有误请哪位订正一下</t>
  </si>
  <si>
    <t>我手机上能看到格子的注释，如果看不到请告诉我换个方式标注</t>
  </si>
  <si>
    <t>交换所</t>
  </si>
  <si>
    <t>彩歌仙池子积分交换截止10月5日11:59（10:59）</t>
  </si>
  <si>
    <t>记得领每日限时使用的1心体力药（我一定不是唯一忘记领的TWT）</t>
  </si>
  <si>
    <t>piya  薙刀合成的书写道具数据我给补充了。以及，这个表是可以多人填写吗……？</t>
  </si>
  <si>
    <t>不要在1-17刷鬼角……我刷到了80多的水，0个鬼角掉落。不过1-17稳定掉水+豆，各自有俩的概率很高</t>
  </si>
  <si>
    <t>⬆️风骅：感谢！目前还没有人捣乱所以作者同事还开着权限，我发现能编辑的时候也很震惊（总之猛猛编辑了）。1-17的掉落说明已经加入备注</t>
  </si>
  <si>
    <t>piya 刀男所需材料的锹和锄头是同一个材料吧，感觉可以统一一个名字（</t>
  </si>
  <si>
    <t>⬆️风骅：改完了❤</t>
  </si>
  <si>
    <t>piya 材料来源标写混了：3-12的“多毛”以外的信息是3-17，多毛我不知道是哪位同事备注的（</t>
  </si>
  <si>
    <t>⬆️风骅：看窜行了对不起！已修改【咽气】等下是3-17还是1-17，果然这个排版会引人疑问是吗——————</t>
  </si>
  <si>
    <t>风骅：三色绘具是消耗品吗？？？？？哪里掉啊？？？？？</t>
  </si>
  <si>
    <t>⬆️文州：目前只有三章主线完成后红黄蓝各给一个+活跃度pass基础款能攒出2个红绘具，所以理论上现在最多练出5把35级（根本不够（气</t>
  </si>
  <si>
    <t>⬆️风骅：是人吗！他们的玩家进度管理还是那么小气……</t>
  </si>
  <si>
    <t>⬆️piya：30级进化完回来了，这个绘具压根没写获得方式，看笑了。所以现阶段黄和蓝30级突破估计各自只能有一个</t>
  </si>
  <si>
    <t>乌七：黏土到底在哪里刷……一整天了一个都没掉啊！！2-6 2-7 2-11都试过了非得离谱</t>
  </si>
  <si>
    <t>⬆️风骅：3图打碎鸟窝【】给我掉了一个，就一个</t>
  </si>
  <si>
    <t>piya：2-5的带骨肉掉率好好笑……刷了30个铁，才掉一个带骨肉……</t>
  </si>
  <si>
    <t>⬆️风骅：铁都不给我——</t>
  </si>
  <si>
    <t>风骅：3-24掉珊瑚都不给我鳞片，3-35掉羽衣都不给我鳞片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</si>
</sst>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1"/>
      <color rgb="FFFFFFFF"/>
      <name val="等线"/>
      <charset val="134"/>
      <scheme val="minor"/>
    </font>
    <font>
      <strike/>
      <sz val="11"/>
      <color rgb="FF7F7F7F"/>
      <name val="等线"/>
      <charset val="134"/>
      <scheme val="minor"/>
    </font>
    <font>
      <strike/>
      <sz val="11"/>
      <color rgb="FF939393"/>
      <name val="等线"/>
      <charset val="134"/>
      <scheme val="minor"/>
    </font>
    <font>
      <sz val="11"/>
      <color rgb="FF939393"/>
      <name val="等线"/>
      <charset val="134"/>
      <scheme val="minor"/>
    </font>
    <font>
      <sz val="11"/>
      <name val="等线"/>
      <charset val="134"/>
      <scheme val="minor"/>
    </font>
    <font>
      <u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28"/>
      <scheme val="minor"/>
    </font>
    <font>
      <sz val="11"/>
      <name val="等线"/>
      <charset val="128"/>
      <scheme val="minor"/>
    </font>
    <font>
      <sz val="11"/>
      <color rgb="FFFFFFFF"/>
      <name val="Microsoft YaHei"/>
      <charset val="134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8"/>
      <color rgb="FFFFFFFF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1"/>
      <color theme="1"/>
      <name val="等线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  <scheme val="minor"/>
    </font>
    <font>
      <sz val="11"/>
      <color theme="1"/>
      <name val="等线"/>
      <charset val="128"/>
    </font>
    <font>
      <sz val="11"/>
      <name val="Microsoft YaHei"/>
      <charset val="134"/>
    </font>
    <font>
      <sz val="10"/>
      <color rgb="FFFFFFFF"/>
      <name val="Microsoft YaHei"/>
      <charset val="134"/>
    </font>
    <font>
      <sz val="11"/>
      <color rgb="FFFF0000"/>
      <name val="Microsoft YaHei"/>
      <charset val="134"/>
    </font>
    <font>
      <u/>
      <sz val="11"/>
      <color rgb="FF0563C1"/>
      <name val="等线"/>
      <charset val="134"/>
      <scheme val="minor"/>
    </font>
    <font>
      <sz val="10"/>
      <color theme="1"/>
      <name val="Microsoft YaHei"/>
      <charset val="134"/>
    </font>
    <font>
      <sz val="11"/>
      <name val="等线"/>
      <charset val="134"/>
    </font>
    <font>
      <u/>
      <sz val="11"/>
      <color rgb="FF0563C1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u/>
      <sz val="11"/>
      <color rgb="FF175CEB"/>
      <name val="宋体"/>
      <charset val="134"/>
    </font>
    <font>
      <u/>
      <sz val="10"/>
      <color rgb="FF175CEB"/>
      <name val="宋体"/>
      <charset val="134"/>
    </font>
    <font>
      <sz val="10"/>
      <color rgb="FF000000"/>
      <name val="微软雅黑"/>
      <charset val="134"/>
    </font>
    <font>
      <u/>
      <sz val="10"/>
      <color rgb="FF175CEB"/>
      <name val="微软雅黑"/>
      <charset val="134"/>
    </font>
    <font>
      <sz val="10"/>
      <color rgb="FFFFFFFF"/>
      <name val="宋体"/>
      <charset val="134"/>
    </font>
    <font>
      <sz val="10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rgb="FF1450B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2"/>
        <bgColor theme="4" tint="0.799982"/>
      </patternFill>
    </fill>
    <fill>
      <patternFill patternType="solid">
        <fgColor rgb="FFFFFF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87A8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5E2281"/>
        <bgColor indexed="64"/>
      </patternFill>
    </fill>
    <fill>
      <patternFill patternType="solid">
        <fgColor rgb="FF9E1E1A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88C1D7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6B65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CAFFC0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8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theme="4" tint="0.399976"/>
      </bottom>
      <diagonal/>
    </border>
    <border>
      <left style="thin">
        <color rgb="FF939393"/>
      </left>
      <right/>
      <top/>
      <bottom/>
      <diagonal/>
    </border>
    <border>
      <left/>
      <right style="thin">
        <color rgb="FF939393"/>
      </right>
      <top/>
      <bottom/>
      <diagonal/>
    </border>
    <border>
      <left style="thin">
        <color rgb="FF939393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939393"/>
      </right>
      <top/>
      <bottom/>
      <diagonal/>
    </border>
    <border>
      <left style="medium">
        <color rgb="FF000000"/>
      </left>
      <right style="thin">
        <color rgb="FF939393"/>
      </right>
      <top/>
      <bottom style="thin">
        <color rgb="FF93939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/>
      <right/>
      <top style="thin">
        <color rgb="FF939393"/>
      </top>
      <bottom style="thin">
        <color rgb="FF939393"/>
      </bottom>
      <diagonal/>
    </border>
    <border>
      <left/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" fillId="22" borderId="26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9" fillId="0" borderId="27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3" borderId="29" applyNumberFormat="0" applyAlignment="0" applyProtection="0">
      <alignment vertical="center"/>
    </xf>
    <xf numFmtId="0" fontId="42" fillId="24" borderId="30" applyNumberFormat="0" applyAlignment="0" applyProtection="0">
      <alignment vertical="center"/>
    </xf>
    <xf numFmtId="0" fontId="43" fillId="24" borderId="29" applyNumberFormat="0" applyAlignment="0" applyProtection="0">
      <alignment vertical="center"/>
    </xf>
    <xf numFmtId="0" fontId="44" fillId="25" borderId="31" applyNumberFormat="0" applyAlignment="0" applyProtection="0">
      <alignment vertical="center"/>
    </xf>
    <xf numFmtId="0" fontId="45" fillId="0" borderId="32" applyNumberFormat="0" applyFill="0" applyAlignment="0" applyProtection="0">
      <alignment vertical="center"/>
    </xf>
    <xf numFmtId="0" fontId="46" fillId="0" borderId="33" applyNumberFormat="0" applyFill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>
      <alignment vertical="center"/>
    </xf>
    <xf numFmtId="0" fontId="8" fillId="4" borderId="1" xfId="0" applyFont="1" applyFill="1" applyBorder="1">
      <alignment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Fill="1">
      <alignment vertical="center"/>
    </xf>
    <xf numFmtId="0" fontId="10" fillId="5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49" fontId="5" fillId="0" borderId="0" xfId="0" applyNumberFormat="1" applyFont="1">
      <alignment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49" fontId="13" fillId="0" borderId="0" xfId="0" applyNumberFormat="1" applyFont="1">
      <alignment vertical="center"/>
    </xf>
    <xf numFmtId="49" fontId="5" fillId="0" borderId="0" xfId="0" applyNumberFormat="1" applyFont="1" applyFill="1" applyAlignment="1">
      <alignment vertical="center"/>
    </xf>
    <xf numFmtId="0" fontId="14" fillId="6" borderId="0" xfId="0" applyFont="1" applyFill="1" applyAlignment="1">
      <alignment horizontal="center" vertical="center"/>
    </xf>
    <xf numFmtId="0" fontId="15" fillId="0" borderId="0" xfId="0" applyFont="1" applyFill="1">
      <alignment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vertical="center"/>
    </xf>
    <xf numFmtId="0" fontId="16" fillId="0" borderId="0" xfId="0" applyFont="1">
      <alignment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49" fontId="17" fillId="0" borderId="6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49" fontId="1" fillId="6" borderId="7" xfId="0" applyNumberFormat="1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left" vertical="center"/>
    </xf>
    <xf numFmtId="0" fontId="19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7" borderId="6" xfId="0" applyNumberFormat="1" applyFont="1" applyFill="1" applyBorder="1">
      <alignment vertical="center"/>
    </xf>
    <xf numFmtId="0" fontId="15" fillId="0" borderId="0" xfId="0" applyFont="1" applyFill="1">
      <alignment vertical="center"/>
    </xf>
    <xf numFmtId="0" fontId="19" fillId="6" borderId="10" xfId="0" applyFont="1" applyFill="1" applyBorder="1" applyAlignment="1">
      <alignment horizontal="left" vertical="center"/>
    </xf>
    <xf numFmtId="0" fontId="19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vertical="center" wrapText="1"/>
    </xf>
    <xf numFmtId="0" fontId="19" fillId="6" borderId="0" xfId="0" applyFont="1" applyFill="1">
      <alignment vertical="center"/>
    </xf>
    <xf numFmtId="0" fontId="19" fillId="6" borderId="11" xfId="0" applyFont="1" applyFill="1" applyBorder="1">
      <alignment vertical="center"/>
    </xf>
    <xf numFmtId="0" fontId="7" fillId="0" borderId="2" xfId="0" applyFont="1" applyFill="1" applyBorder="1">
      <alignment vertical="center"/>
    </xf>
    <xf numFmtId="0" fontId="7" fillId="0" borderId="0" xfId="0" applyFont="1" applyFill="1">
      <alignment vertical="center"/>
    </xf>
    <xf numFmtId="49" fontId="9" fillId="7" borderId="3" xfId="0" applyNumberFormat="1" applyFont="1" applyFill="1" applyBorder="1">
      <alignment vertical="center"/>
    </xf>
    <xf numFmtId="49" fontId="5" fillId="5" borderId="12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1" fillId="0" borderId="11" xfId="0" applyFont="1" applyFill="1" applyBorder="1">
      <alignment vertical="center"/>
    </xf>
    <xf numFmtId="0" fontId="20" fillId="0" borderId="15" xfId="0" applyFont="1" applyFill="1" applyBorder="1">
      <alignment vertical="center"/>
    </xf>
    <xf numFmtId="0" fontId="0" fillId="0" borderId="16" xfId="0" applyBorder="1">
      <alignment vertical="center"/>
    </xf>
    <xf numFmtId="0" fontId="20" fillId="0" borderId="17" xfId="0" applyFont="1" applyFill="1" applyBorder="1">
      <alignment vertical="center"/>
    </xf>
    <xf numFmtId="49" fontId="9" fillId="8" borderId="3" xfId="0" applyNumberFormat="1" applyFont="1" applyFill="1" applyBorder="1">
      <alignment vertical="center"/>
    </xf>
    <xf numFmtId="49" fontId="11" fillId="0" borderId="1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/>
    <xf numFmtId="0" fontId="21" fillId="0" borderId="0" xfId="0" applyFont="1" applyAlignment="1">
      <alignment vertical="center" wrapText="1"/>
    </xf>
    <xf numFmtId="49" fontId="11" fillId="5" borderId="18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6" fillId="5" borderId="0" xfId="0" applyFont="1" applyFill="1" applyAlignment="1"/>
    <xf numFmtId="0" fontId="21" fillId="5" borderId="0" xfId="0" applyFont="1" applyFill="1" applyAlignment="1"/>
    <xf numFmtId="0" fontId="5" fillId="0" borderId="11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7" borderId="6" xfId="0" applyNumberFormat="1" applyFont="1" applyFill="1" applyBorder="1">
      <alignment vertical="center"/>
    </xf>
    <xf numFmtId="0" fontId="21" fillId="0" borderId="0" xfId="0" applyFont="1" applyAlignment="1"/>
    <xf numFmtId="0" fontId="0" fillId="0" borderId="11" xfId="0" applyBorder="1">
      <alignment vertical="center"/>
    </xf>
    <xf numFmtId="49" fontId="9" fillId="0" borderId="6" xfId="0" applyNumberFormat="1" applyFont="1" applyBorder="1">
      <alignment vertical="center"/>
    </xf>
    <xf numFmtId="0" fontId="21" fillId="0" borderId="0" xfId="0" applyFont="1">
      <alignment vertical="center"/>
    </xf>
    <xf numFmtId="49" fontId="9" fillId="0" borderId="3" xfId="0" applyNumberFormat="1" applyFont="1" applyBorder="1">
      <alignment vertical="center"/>
    </xf>
    <xf numFmtId="49" fontId="11" fillId="5" borderId="19" xfId="0" applyNumberFormat="1" applyFont="1" applyFill="1" applyBorder="1" applyAlignment="1">
      <alignment horizontal="center" vertical="center"/>
    </xf>
    <xf numFmtId="0" fontId="16" fillId="5" borderId="0" xfId="0" applyFont="1" applyFill="1">
      <alignment vertical="center"/>
    </xf>
    <xf numFmtId="0" fontId="21" fillId="5" borderId="0" xfId="0" applyFont="1" applyFill="1">
      <alignment vertical="center"/>
    </xf>
    <xf numFmtId="49" fontId="11" fillId="7" borderId="10" xfId="0" applyNumberFormat="1" applyFont="1" applyFill="1" applyBorder="1" applyAlignment="1">
      <alignment horizontal="center" vertical="center"/>
    </xf>
    <xf numFmtId="0" fontId="21" fillId="0" borderId="0" xfId="0" applyFont="1" applyFill="1">
      <alignment vertical="center"/>
    </xf>
    <xf numFmtId="49" fontId="9" fillId="8" borderId="6" xfId="0" applyNumberFormat="1" applyFont="1" applyFill="1" applyBorder="1">
      <alignment vertical="center"/>
    </xf>
    <xf numFmtId="49" fontId="11" fillId="8" borderId="10" xfId="0" applyNumberFormat="1" applyFont="1" applyFill="1" applyBorder="1" applyAlignment="1">
      <alignment horizontal="center" vertical="center"/>
    </xf>
    <xf numFmtId="49" fontId="11" fillId="8" borderId="20" xfId="0" applyNumberFormat="1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6" fillId="0" borderId="21" xfId="0" applyFont="1" applyBorder="1">
      <alignment vertical="center"/>
    </xf>
    <xf numFmtId="0" fontId="21" fillId="0" borderId="21" xfId="0" applyFont="1" applyBorder="1">
      <alignment vertical="center"/>
    </xf>
    <xf numFmtId="0" fontId="11" fillId="0" borderId="22" xfId="0" applyFont="1" applyFill="1" applyBorder="1">
      <alignment vertical="center"/>
    </xf>
    <xf numFmtId="49" fontId="5" fillId="8" borderId="3" xfId="0" applyNumberFormat="1" applyFont="1" applyFill="1" applyBorder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>
      <alignment vertical="center"/>
    </xf>
    <xf numFmtId="0" fontId="9" fillId="0" borderId="0" xfId="0" applyFont="1">
      <alignment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5" fillId="0" borderId="6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7" borderId="3" xfId="0" applyNumberFormat="1" applyFont="1" applyFill="1" applyBorder="1">
      <alignment vertical="center"/>
    </xf>
    <xf numFmtId="49" fontId="5" fillId="8" borderId="6" xfId="0" applyNumberFormat="1" applyFont="1" applyFill="1" applyBorder="1">
      <alignment vertical="center"/>
    </xf>
    <xf numFmtId="0" fontId="22" fillId="0" borderId="2" xfId="0" applyFill="1" applyBorder="1">
      <alignment vertical="center"/>
    </xf>
    <xf numFmtId="0" fontId="20" fillId="0" borderId="0" xfId="0" applyFont="1" applyFill="1">
      <alignment vertical="center"/>
    </xf>
    <xf numFmtId="0" fontId="23" fillId="0" borderId="4" xfId="0" applyFont="1" applyBorder="1" applyAlignment="1">
      <alignment horizontal="center" vertical="center"/>
    </xf>
    <xf numFmtId="0" fontId="24" fillId="0" borderId="2" xfId="0" applyFont="1" applyFill="1" applyBorder="1">
      <alignment vertical="center"/>
    </xf>
    <xf numFmtId="0" fontId="24" fillId="0" borderId="0" xfId="0" applyFont="1" applyFill="1">
      <alignment vertical="center"/>
    </xf>
    <xf numFmtId="49" fontId="13" fillId="0" borderId="3" xfId="0" applyNumberFormat="1" applyFont="1" applyBorder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13" fillId="0" borderId="0" xfId="0" applyFont="1">
      <alignment vertical="center"/>
    </xf>
    <xf numFmtId="0" fontId="20" fillId="0" borderId="2" xfId="0" applyFont="1" applyFill="1" applyBorder="1">
      <alignment vertical="center"/>
    </xf>
    <xf numFmtId="0" fontId="5" fillId="0" borderId="23" xfId="0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49" fontId="5" fillId="8" borderId="25" xfId="0" applyNumberFormat="1" applyFont="1" applyFill="1" applyBorder="1" applyAlignment="1">
      <alignment vertical="center"/>
    </xf>
    <xf numFmtId="0" fontId="25" fillId="9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27" fillId="9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0" fontId="28" fillId="0" borderId="0" xfId="0" applyFont="1">
      <alignment vertic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0" fontId="17" fillId="0" borderId="0" xfId="6" applyNumberFormat="1" applyFont="1" applyFill="1" applyBorder="1" applyAlignment="1">
      <alignment horizontal="center" vertical="center" wrapText="1"/>
    </xf>
    <xf numFmtId="0" fontId="17" fillId="0" borderId="0" xfId="6" applyNumberFormat="1" applyFont="1" applyFill="1" applyAlignment="1">
      <alignment horizontal="center" vertical="center" wrapText="1"/>
    </xf>
    <xf numFmtId="0" fontId="32" fillId="0" borderId="0" xfId="6" applyFont="1" applyFill="1">
      <alignment vertical="center"/>
    </xf>
    <xf numFmtId="0" fontId="1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11" borderId="0" xfId="0" applyFont="1" applyFill="1" applyAlignment="1">
      <alignment horizontal="left" vertical="center"/>
    </xf>
    <xf numFmtId="0" fontId="19" fillId="11" borderId="0" xfId="0" applyFont="1" applyFill="1">
      <alignment vertical="center"/>
    </xf>
    <xf numFmtId="0" fontId="5" fillId="1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5" borderId="0" xfId="0" applyFont="1" applyFill="1">
      <alignment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 wrapText="1"/>
    </xf>
    <xf numFmtId="0" fontId="20" fillId="0" borderId="0" xfId="0" applyNumberFormat="1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NumberFormat="1" applyFont="1" applyFill="1">
      <alignment vertical="center"/>
    </xf>
    <xf numFmtId="0" fontId="5" fillId="18" borderId="0" xfId="0" applyFont="1" applyFill="1" applyAlignment="1">
      <alignment horizontal="center" vertical="center" wrapText="1"/>
    </xf>
    <xf numFmtId="0" fontId="5" fillId="15" borderId="0" xfId="0" applyFont="1" applyFill="1">
      <alignment vertical="center"/>
    </xf>
    <xf numFmtId="0" fontId="5" fillId="0" borderId="0" xfId="0" applyFont="1" applyFill="1" applyAlignment="1"/>
    <xf numFmtId="0" fontId="5" fillId="19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5" borderId="0" xfId="0" applyNumberFormat="1" applyFont="1" applyFill="1">
      <alignment vertical="center"/>
    </xf>
    <xf numFmtId="0" fontId="5" fillId="8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microsoft.com/office/2017/06/relationships/rdRichValue" Target="richData/rdrichvalue.xml"/><Relationship Id="rId11" Type="http://schemas.microsoft.com/office/2017/06/relationships/rdRichValueStructure" Target="richData/rdrichvaluestructure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createdVersion="8" refreshedVersion="5" refreshedDate="46296.6407407407" refreshedBy="30417" recordCount="139">
  <cacheSource type="worksheet">
    <worksheetSource ref="A1:C200" sheet="关卡统计（透视表用）"/>
  </cacheSource>
  <cacheFields count="3">
    <cacheField name="中文名" numFmtId="0">
      <sharedItems containsBlank="1" count="34">
        <s v="粘土"/>
        <s v="打火石"/>
        <s v="木材"/>
        <s v="兽牙"/>
        <s v="铁"/>
        <s v="鳞片"/>
        <s v="大米"/>
        <s v="盐"/>
        <s v="大豆"/>
        <s v="树枝"/>
        <s v="御影石"/>
        <s v="花"/>
        <s v="水"/>
        <s v="蓬松的毛"/>
        <s v="珊瑚"/>
        <s v="叶子"/>
        <s v="桃子"/>
        <s v="鬼的角"/>
        <s v="蚌"/>
        <s v="手旗"/>
        <s v="虎皮"/>
        <s v="骰子"/>
        <s v="蟹钳"/>
        <s v="海带"/>
        <s v="麦"/>
        <s v="油"/>
        <s v="螺丝"/>
        <s v="蜡烛"/>
        <s v="带骨肉"/>
        <s v=" 鱼"/>
        <s v="蛋"/>
        <s v="发绳"/>
        <s v="羽衣"/>
        <m/>
      </sharedItems>
    </cacheField>
    <cacheField name="材料" numFmtId="0">
      <sharedItems containsBlank="1" count="34">
        <s v="粘土"/>
        <s v="火打ち石"/>
        <s v="丸太"/>
        <s v="獣の牙"/>
        <s v="鉄"/>
        <s v="ウロコ"/>
        <s v="お米"/>
        <s v="塩"/>
        <s v="大豆"/>
        <s v="木の枝"/>
        <s v="みかげ石"/>
        <s v="お花"/>
        <s v="水"/>
        <s v="ふさふさの毛"/>
        <s v="サンゴ"/>
        <s v="葉っぱ"/>
        <s v="桃"/>
        <s v="鬼のツノ"/>
        <s v="真珠貝"/>
        <s v="手旗"/>
        <s v="トラの毛皮"/>
        <s v="サイコロ"/>
        <s v="カニのはさみ"/>
        <s v="昆布"/>
        <s v="麦"/>
        <s v="油"/>
        <s v="ネジ"/>
        <s v="ろうそく"/>
        <s v="骨付き肉"/>
        <s v="お魚"/>
        <s v="卵"/>
        <s v="元結"/>
        <s v="羽衣"/>
        <m/>
      </sharedItems>
    </cacheField>
    <cacheField name="关卡" numFmtId="0">
      <sharedItems containsBlank="1" count="37">
        <s v="2-6"/>
        <s v="2-7"/>
        <s v="2-11"/>
        <s v="3-12"/>
        <s v="3-21"/>
        <s v="2-16"/>
        <s v="2-22"/>
        <s v="3-19"/>
        <s v="3-31"/>
        <s v="1-4"/>
        <s v="1-7"/>
        <s v="1-12"/>
        <s v="2-25"/>
        <s v="2-27"/>
        <s v="3-26"/>
        <s v="2-5"/>
        <s v="2-12"/>
        <s v="3-4"/>
        <s v="3-7"/>
        <s v="3-33"/>
        <s v="3-24"/>
        <s v="3-35"/>
        <s v="2-2"/>
        <s v="2-19"/>
        <s v="3-2"/>
        <s v="3-29"/>
        <s v="1-13"/>
        <s v="1-17"/>
        <s v="1-9"/>
        <s v="3-9"/>
        <s v="3-17"/>
        <s v="2-24"/>
        <s v="1-2"/>
        <s v="1-11"/>
        <s v="2-29"/>
        <s v="3-1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"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4"/>
  </r>
  <r>
    <x v="1"/>
    <x v="1"/>
    <x v="5"/>
  </r>
  <r>
    <x v="1"/>
    <x v="1"/>
    <x v="6"/>
  </r>
  <r>
    <x v="1"/>
    <x v="1"/>
    <x v="7"/>
  </r>
  <r>
    <x v="1"/>
    <x v="1"/>
    <x v="8"/>
  </r>
  <r>
    <x v="2"/>
    <x v="2"/>
    <x v="9"/>
  </r>
  <r>
    <x v="2"/>
    <x v="2"/>
    <x v="10"/>
  </r>
  <r>
    <x v="2"/>
    <x v="2"/>
    <x v="11"/>
  </r>
  <r>
    <x v="2"/>
    <x v="2"/>
    <x v="5"/>
  </r>
  <r>
    <x v="2"/>
    <x v="2"/>
    <x v="12"/>
  </r>
  <r>
    <x v="2"/>
    <x v="2"/>
    <x v="3"/>
  </r>
  <r>
    <x v="3"/>
    <x v="3"/>
    <x v="11"/>
  </r>
  <r>
    <x v="3"/>
    <x v="3"/>
    <x v="13"/>
  </r>
  <r>
    <x v="3"/>
    <x v="3"/>
    <x v="14"/>
  </r>
  <r>
    <x v="4"/>
    <x v="4"/>
    <x v="15"/>
  </r>
  <r>
    <x v="4"/>
    <x v="4"/>
    <x v="16"/>
  </r>
  <r>
    <x v="4"/>
    <x v="4"/>
    <x v="17"/>
  </r>
  <r>
    <x v="4"/>
    <x v="4"/>
    <x v="18"/>
  </r>
  <r>
    <x v="4"/>
    <x v="4"/>
    <x v="19"/>
  </r>
  <r>
    <x v="5"/>
    <x v="5"/>
    <x v="20"/>
  </r>
  <r>
    <x v="5"/>
    <x v="5"/>
    <x v="21"/>
  </r>
  <r>
    <x v="6"/>
    <x v="6"/>
    <x v="22"/>
  </r>
  <r>
    <x v="6"/>
    <x v="6"/>
    <x v="16"/>
  </r>
  <r>
    <x v="6"/>
    <x v="6"/>
    <x v="23"/>
  </r>
  <r>
    <x v="6"/>
    <x v="6"/>
    <x v="24"/>
  </r>
  <r>
    <x v="6"/>
    <x v="6"/>
    <x v="18"/>
  </r>
  <r>
    <x v="6"/>
    <x v="6"/>
    <x v="14"/>
  </r>
  <r>
    <x v="7"/>
    <x v="7"/>
    <x v="24"/>
  </r>
  <r>
    <x v="7"/>
    <x v="7"/>
    <x v="20"/>
  </r>
  <r>
    <x v="7"/>
    <x v="7"/>
    <x v="14"/>
  </r>
  <r>
    <x v="7"/>
    <x v="7"/>
    <x v="25"/>
  </r>
  <r>
    <x v="7"/>
    <x v="7"/>
    <x v="19"/>
  </r>
  <r>
    <x v="7"/>
    <x v="7"/>
    <x v="21"/>
  </r>
  <r>
    <x v="8"/>
    <x v="8"/>
    <x v="9"/>
  </r>
  <r>
    <x v="8"/>
    <x v="8"/>
    <x v="26"/>
  </r>
  <r>
    <x v="8"/>
    <x v="8"/>
    <x v="27"/>
  </r>
  <r>
    <x v="8"/>
    <x v="8"/>
    <x v="28"/>
  </r>
  <r>
    <x v="8"/>
    <x v="8"/>
    <x v="22"/>
  </r>
  <r>
    <x v="8"/>
    <x v="8"/>
    <x v="16"/>
  </r>
  <r>
    <x v="8"/>
    <x v="8"/>
    <x v="29"/>
  </r>
  <r>
    <x v="8"/>
    <x v="8"/>
    <x v="30"/>
  </r>
  <r>
    <x v="9"/>
    <x v="9"/>
    <x v="0"/>
  </r>
  <r>
    <x v="9"/>
    <x v="9"/>
    <x v="5"/>
  </r>
  <r>
    <x v="9"/>
    <x v="9"/>
    <x v="6"/>
  </r>
  <r>
    <x v="9"/>
    <x v="9"/>
    <x v="12"/>
  </r>
  <r>
    <x v="9"/>
    <x v="9"/>
    <x v="3"/>
  </r>
  <r>
    <x v="10"/>
    <x v="10"/>
    <x v="6"/>
  </r>
  <r>
    <x v="10"/>
    <x v="10"/>
    <x v="31"/>
  </r>
  <r>
    <x v="10"/>
    <x v="10"/>
    <x v="17"/>
  </r>
  <r>
    <x v="10"/>
    <x v="10"/>
    <x v="18"/>
  </r>
  <r>
    <x v="10"/>
    <x v="10"/>
    <x v="4"/>
  </r>
  <r>
    <x v="10"/>
    <x v="10"/>
    <x v="25"/>
  </r>
  <r>
    <x v="11"/>
    <x v="11"/>
    <x v="12"/>
  </r>
  <r>
    <x v="11"/>
    <x v="11"/>
    <x v="18"/>
  </r>
  <r>
    <x v="12"/>
    <x v="12"/>
    <x v="32"/>
  </r>
  <r>
    <x v="12"/>
    <x v="12"/>
    <x v="28"/>
  </r>
  <r>
    <x v="12"/>
    <x v="12"/>
    <x v="27"/>
  </r>
  <r>
    <x v="12"/>
    <x v="12"/>
    <x v="0"/>
  </r>
  <r>
    <x v="12"/>
    <x v="12"/>
    <x v="1"/>
  </r>
  <r>
    <x v="12"/>
    <x v="12"/>
    <x v="2"/>
  </r>
  <r>
    <x v="12"/>
    <x v="12"/>
    <x v="13"/>
  </r>
  <r>
    <x v="12"/>
    <x v="12"/>
    <x v="24"/>
  </r>
  <r>
    <x v="12"/>
    <x v="12"/>
    <x v="30"/>
  </r>
  <r>
    <x v="12"/>
    <x v="12"/>
    <x v="14"/>
  </r>
  <r>
    <x v="13"/>
    <x v="13"/>
    <x v="9"/>
  </r>
  <r>
    <x v="13"/>
    <x v="13"/>
    <x v="33"/>
  </r>
  <r>
    <x v="13"/>
    <x v="13"/>
    <x v="11"/>
  </r>
  <r>
    <x v="13"/>
    <x v="13"/>
    <x v="23"/>
  </r>
  <r>
    <x v="13"/>
    <x v="13"/>
    <x v="34"/>
  </r>
  <r>
    <x v="14"/>
    <x v="14"/>
    <x v="30"/>
  </r>
  <r>
    <x v="14"/>
    <x v="14"/>
    <x v="20"/>
  </r>
  <r>
    <x v="14"/>
    <x v="14"/>
    <x v="25"/>
  </r>
  <r>
    <x v="14"/>
    <x v="14"/>
    <x v="21"/>
  </r>
  <r>
    <x v="15"/>
    <x v="15"/>
    <x v="32"/>
  </r>
  <r>
    <x v="15"/>
    <x v="15"/>
    <x v="10"/>
  </r>
  <r>
    <x v="15"/>
    <x v="15"/>
    <x v="26"/>
  </r>
  <r>
    <x v="15"/>
    <x v="15"/>
    <x v="20"/>
  </r>
  <r>
    <x v="16"/>
    <x v="16"/>
    <x v="32"/>
  </r>
  <r>
    <x v="16"/>
    <x v="16"/>
    <x v="28"/>
  </r>
  <r>
    <x v="16"/>
    <x v="16"/>
    <x v="18"/>
  </r>
  <r>
    <x v="16"/>
    <x v="16"/>
    <x v="4"/>
  </r>
  <r>
    <x v="16"/>
    <x v="16"/>
    <x v="20"/>
  </r>
  <r>
    <x v="17"/>
    <x v="17"/>
    <x v="27"/>
  </r>
  <r>
    <x v="17"/>
    <x v="17"/>
    <x v="13"/>
  </r>
  <r>
    <x v="18"/>
    <x v="18"/>
    <x v="24"/>
  </r>
  <r>
    <x v="18"/>
    <x v="18"/>
    <x v="17"/>
  </r>
  <r>
    <x v="18"/>
    <x v="18"/>
    <x v="18"/>
  </r>
  <r>
    <x v="18"/>
    <x v="18"/>
    <x v="29"/>
  </r>
  <r>
    <x v="18"/>
    <x v="18"/>
    <x v="30"/>
  </r>
  <r>
    <x v="19"/>
    <x v="19"/>
    <x v="29"/>
  </r>
  <r>
    <x v="19"/>
    <x v="19"/>
    <x v="3"/>
  </r>
  <r>
    <x v="19"/>
    <x v="19"/>
    <x v="35"/>
  </r>
  <r>
    <x v="20"/>
    <x v="20"/>
    <x v="11"/>
  </r>
  <r>
    <x v="20"/>
    <x v="20"/>
    <x v="27"/>
  </r>
  <r>
    <x v="20"/>
    <x v="20"/>
    <x v="13"/>
  </r>
  <r>
    <x v="20"/>
    <x v="20"/>
    <x v="35"/>
  </r>
  <r>
    <x v="21"/>
    <x v="21"/>
    <x v="5"/>
  </r>
  <r>
    <x v="21"/>
    <x v="21"/>
    <x v="31"/>
  </r>
  <r>
    <x v="21"/>
    <x v="21"/>
    <x v="35"/>
  </r>
  <r>
    <x v="22"/>
    <x v="22"/>
    <x v="30"/>
  </r>
  <r>
    <x v="22"/>
    <x v="22"/>
    <x v="4"/>
  </r>
  <r>
    <x v="22"/>
    <x v="22"/>
    <x v="25"/>
  </r>
  <r>
    <x v="23"/>
    <x v="23"/>
    <x v="24"/>
  </r>
  <r>
    <x v="23"/>
    <x v="23"/>
    <x v="30"/>
  </r>
  <r>
    <x v="23"/>
    <x v="23"/>
    <x v="14"/>
  </r>
  <r>
    <x v="23"/>
    <x v="23"/>
    <x v="25"/>
  </r>
  <r>
    <x v="24"/>
    <x v="24"/>
    <x v="10"/>
  </r>
  <r>
    <x v="24"/>
    <x v="24"/>
    <x v="33"/>
  </r>
  <r>
    <x v="24"/>
    <x v="24"/>
    <x v="11"/>
  </r>
  <r>
    <x v="24"/>
    <x v="24"/>
    <x v="29"/>
  </r>
  <r>
    <x v="25"/>
    <x v="25"/>
    <x v="1"/>
  </r>
  <r>
    <x v="25"/>
    <x v="25"/>
    <x v="17"/>
  </r>
  <r>
    <x v="25"/>
    <x v="25"/>
    <x v="19"/>
  </r>
  <r>
    <x v="26"/>
    <x v="26"/>
    <x v="17"/>
  </r>
  <r>
    <x v="26"/>
    <x v="26"/>
    <x v="19"/>
  </r>
  <r>
    <x v="27"/>
    <x v="27"/>
    <x v="6"/>
  </r>
  <r>
    <x v="27"/>
    <x v="27"/>
    <x v="31"/>
  </r>
  <r>
    <x v="27"/>
    <x v="27"/>
    <x v="7"/>
  </r>
  <r>
    <x v="27"/>
    <x v="27"/>
    <x v="8"/>
  </r>
  <r>
    <x v="28"/>
    <x v="28"/>
    <x v="9"/>
  </r>
  <r>
    <x v="28"/>
    <x v="28"/>
    <x v="33"/>
  </r>
  <r>
    <x v="28"/>
    <x v="28"/>
    <x v="15"/>
  </r>
  <r>
    <x v="28"/>
    <x v="28"/>
    <x v="23"/>
  </r>
  <r>
    <x v="29"/>
    <x v="29"/>
    <x v="0"/>
  </r>
  <r>
    <x v="29"/>
    <x v="29"/>
    <x v="1"/>
  </r>
  <r>
    <x v="29"/>
    <x v="29"/>
    <x v="2"/>
  </r>
  <r>
    <x v="29"/>
    <x v="29"/>
    <x v="16"/>
  </r>
  <r>
    <x v="29"/>
    <x v="29"/>
    <x v="31"/>
  </r>
  <r>
    <x v="29"/>
    <x v="29"/>
    <x v="20"/>
  </r>
  <r>
    <x v="30"/>
    <x v="30"/>
    <x v="9"/>
  </r>
  <r>
    <x v="30"/>
    <x v="30"/>
    <x v="26"/>
  </r>
  <r>
    <x v="30"/>
    <x v="30"/>
    <x v="16"/>
  </r>
  <r>
    <x v="31"/>
    <x v="31"/>
    <x v="34"/>
  </r>
  <r>
    <x v="32"/>
    <x v="32"/>
    <x v="21"/>
  </r>
  <r>
    <x v="33"/>
    <x v="33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8" indent="0" outline="1" outlineData="1" showDrill="1" multipleFieldFilters="0">
  <location ref="E1:F39" firstHeaderRow="1" firstDataRow="1" firstDataCol="1"/>
  <pivotFields count="3">
    <pivotField showAll="0"/>
    <pivotField dataField="1" showAll="0"/>
    <pivotField axis="axisRow" sortType="descending" showAll="0">
      <items count="38">
        <item x="33"/>
        <item x="11"/>
        <item x="26"/>
        <item x="27"/>
        <item x="32"/>
        <item x="9"/>
        <item x="10"/>
        <item x="28"/>
        <item x="2"/>
        <item x="16"/>
        <item x="5"/>
        <item x="23"/>
        <item x="22"/>
        <item x="6"/>
        <item x="31"/>
        <item x="12"/>
        <item x="13"/>
        <item x="34"/>
        <item x="15"/>
        <item x="0"/>
        <item x="1"/>
        <item x="3"/>
        <item x="30"/>
        <item x="7"/>
        <item x="24"/>
        <item x="4"/>
        <item x="20"/>
        <item x="14"/>
        <item x="25"/>
        <item x="8"/>
        <item x="19"/>
        <item x="21"/>
        <item x="17"/>
        <item x="18"/>
        <item x="29"/>
        <item x="35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38">
    <i>
      <x v="33"/>
    </i>
    <i>
      <x v="26"/>
    </i>
    <i>
      <x v="22"/>
    </i>
    <i>
      <x v="32"/>
    </i>
    <i>
      <x v="28"/>
    </i>
    <i>
      <x v="27"/>
    </i>
    <i>
      <x v="24"/>
    </i>
    <i>
      <x v="9"/>
    </i>
    <i>
      <x v="5"/>
    </i>
    <i>
      <x v="1"/>
    </i>
    <i>
      <x v="34"/>
    </i>
    <i>
      <x v="31"/>
    </i>
    <i>
      <x v="30"/>
    </i>
    <i>
      <x v="25"/>
    </i>
    <i>
      <x v="21"/>
    </i>
    <i>
      <x v="20"/>
    </i>
    <i>
      <x v="19"/>
    </i>
    <i>
      <x v="16"/>
    </i>
    <i>
      <x v="14"/>
    </i>
    <i>
      <x v="13"/>
    </i>
    <i>
      <x v="10"/>
    </i>
    <i>
      <x v="3"/>
    </i>
    <i>
      <x v="35"/>
    </i>
    <i>
      <x v="15"/>
    </i>
    <i>
      <x v="11"/>
    </i>
    <i>
      <x v="8"/>
    </i>
    <i>
      <x v="7"/>
    </i>
    <i>
      <x v="6"/>
    </i>
    <i>
      <x v="4"/>
    </i>
    <i>
      <x v="2"/>
    </i>
    <i>
      <x/>
    </i>
    <i>
      <x v="29"/>
    </i>
    <i>
      <x v="23"/>
    </i>
    <i>
      <x v="18"/>
    </i>
    <i>
      <x v="17"/>
    </i>
    <i>
      <x v="12"/>
    </i>
    <i>
      <x v="36"/>
    </i>
    <i t="grand">
      <x/>
    </i>
  </rowItems>
  <colItems count="1">
    <i/>
  </colItems>
  <dataFields count="1">
    <dataField name="计数项:材料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hslink.cn/o/Vg6kGMX6Xy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#'&#26448;&#26009;&#26469;&#28304;'!b33:" TargetMode="External"/><Relationship Id="rId8" Type="http://schemas.openxmlformats.org/officeDocument/2006/relationships/hyperlink" Target="#'&#26448;&#26009;&#26469;&#28304;'!b27:" TargetMode="External"/><Relationship Id="rId7" Type="http://schemas.openxmlformats.org/officeDocument/2006/relationships/hyperlink" Target="#'&#26448;&#26009;&#26469;&#28304;'!b25:" TargetMode="External"/><Relationship Id="rId6" Type="http://schemas.openxmlformats.org/officeDocument/2006/relationships/hyperlink" Target="#'&#26448;&#26009;&#26469;&#28304;'!b17:" TargetMode="External"/><Relationship Id="rId5" Type="http://schemas.openxmlformats.org/officeDocument/2006/relationships/hyperlink" Target="#'&#26448;&#26009;&#26469;&#28304;'!b11:" TargetMode="External"/><Relationship Id="rId4" Type="http://schemas.openxmlformats.org/officeDocument/2006/relationships/hyperlink" Target="#'&#26448;&#26009;&#26469;&#28304;'!b7:" TargetMode="External"/><Relationship Id="rId31" Type="http://schemas.openxmlformats.org/officeDocument/2006/relationships/hyperlink" Target="#'&#26448;&#26009;&#26469;&#28304;'!b94:" TargetMode="External"/><Relationship Id="rId30" Type="http://schemas.openxmlformats.org/officeDocument/2006/relationships/hyperlink" Target="#'&#26448;&#26009;&#26469;&#28304;'!b101:" TargetMode="External"/><Relationship Id="rId3" Type="http://schemas.openxmlformats.org/officeDocument/2006/relationships/hyperlink" Target="#'&#26448;&#26009;&#26469;&#28304;'!b20:" TargetMode="External"/><Relationship Id="rId29" Type="http://schemas.openxmlformats.org/officeDocument/2006/relationships/hyperlink" Target="#'&#26448;&#26009;&#26469;&#28304;'!b111:" TargetMode="External"/><Relationship Id="rId28" Type="http://schemas.openxmlformats.org/officeDocument/2006/relationships/hyperlink" Target="#'&#26448;&#26009;&#26469;&#28304;'!b131:" TargetMode="External"/><Relationship Id="rId27" Type="http://schemas.openxmlformats.org/officeDocument/2006/relationships/hyperlink" Target="#'&#26448;&#26009;&#26469;&#28304;'!b126:" TargetMode="External"/><Relationship Id="rId26" Type="http://schemas.openxmlformats.org/officeDocument/2006/relationships/hyperlink" Target="#'&#26448;&#26009;&#26469;&#28304;'!b115:" TargetMode="External"/><Relationship Id="rId25" Type="http://schemas.openxmlformats.org/officeDocument/2006/relationships/hyperlink" Target="#'&#26448;&#26009;&#26469;&#28304;'!b97:" TargetMode="External"/><Relationship Id="rId24" Type="http://schemas.openxmlformats.org/officeDocument/2006/relationships/hyperlink" Target="#'&#26448;&#26009;&#26469;&#28304;'!b70:" TargetMode="External"/><Relationship Id="rId23" Type="http://schemas.openxmlformats.org/officeDocument/2006/relationships/hyperlink" Target="#'&#26448;&#26009;&#26469;&#28304;'!b60:" TargetMode="External"/><Relationship Id="rId22" Type="http://schemas.openxmlformats.org/officeDocument/2006/relationships/hyperlink" Target="#'&#26448;&#26009;&#26469;&#28304;'!b2:" TargetMode="External"/><Relationship Id="rId21" Type="http://schemas.openxmlformats.org/officeDocument/2006/relationships/hyperlink" Target="#'&#26448;&#26009;&#26469;&#28304;'!b87:" TargetMode="External"/><Relationship Id="rId20" Type="http://schemas.openxmlformats.org/officeDocument/2006/relationships/hyperlink" Target="#'&#26448;&#26009;&#26469;&#28304;'!b82:" TargetMode="External"/><Relationship Id="rId2" Type="http://schemas.openxmlformats.org/officeDocument/2006/relationships/hyperlink" Target="#'&#26448;&#26009;&#21512;&#25104;'!c43:" TargetMode="External"/><Relationship Id="rId19" Type="http://schemas.openxmlformats.org/officeDocument/2006/relationships/hyperlink" Target="#'&#26448;&#26009;&#26469;&#28304;'!b78:" TargetMode="External"/><Relationship Id="rId18" Type="http://schemas.openxmlformats.org/officeDocument/2006/relationships/hyperlink" Target="#'&#26448;&#26009;&#26469;&#28304;'!b75:" TargetMode="External"/><Relationship Id="rId17" Type="http://schemas.openxmlformats.org/officeDocument/2006/relationships/hyperlink" Target="#'&#26448;&#26009;&#26469;&#28304;'!b58:" TargetMode="External"/><Relationship Id="rId16" Type="http://schemas.openxmlformats.org/officeDocument/2006/relationships/hyperlink" Target="#'&#26448;&#26009;&#26469;&#28304;'!b52:" TargetMode="External"/><Relationship Id="rId15" Type="http://schemas.openxmlformats.org/officeDocument/2006/relationships/hyperlink" Target="#'&#26448;&#26009;&#21512;&#25104;'!c56:" TargetMode="External"/><Relationship Id="rId14" Type="http://schemas.openxmlformats.org/officeDocument/2006/relationships/hyperlink" Target="#'&#26448;&#26009;&#21512;&#25104;'!c52:" TargetMode="External"/><Relationship Id="rId13" Type="http://schemas.openxmlformats.org/officeDocument/2006/relationships/hyperlink" Target="#'&#26448;&#26009;&#26469;&#28304;'!b47:" TargetMode="External"/><Relationship Id="rId12" Type="http://schemas.openxmlformats.org/officeDocument/2006/relationships/hyperlink" Target="#'&#26448;&#26009;&#21512;&#25104;'!c49:" TargetMode="External"/><Relationship Id="rId11" Type="http://schemas.openxmlformats.org/officeDocument/2006/relationships/hyperlink" Target="#'&#26448;&#26009;&#21512;&#25104;'!c46:" TargetMode="External"/><Relationship Id="rId10" Type="http://schemas.openxmlformats.org/officeDocument/2006/relationships/hyperlink" Target="#'&#26448;&#26009;&#26469;&#28304;'!b39:" TargetMode="External"/><Relationship Id="rId1" Type="http://schemas.openxmlformats.org/officeDocument/2006/relationships/hyperlink" Target="https://xhslink.cn/o/Vg6kGMX6X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xhslink.cn/o/5O52f1ikM3k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haruhito-shio.github.io/touken-puzzle-tool/" TargetMode="External"/><Relationship Id="rId6" Type="http://schemas.openxmlformats.org/officeDocument/2006/relationships/hyperlink" Target="https://haruhito-shio.github.io/touken-check/?v=1" TargetMode="External"/><Relationship Id="rId5" Type="http://schemas.openxmlformats.org/officeDocument/2006/relationships/hyperlink" Target="https://airrodsushi.wpcomstaging.com/" TargetMode="External"/><Relationship Id="rId4" Type="http://schemas.openxmlformats.org/officeDocument/2006/relationships/hyperlink" Target="https://xhslink.cn/o/5O52f1ikM3k" TargetMode="External"/><Relationship Id="rId3" Type="http://schemas.openxmlformats.org/officeDocument/2006/relationships/hyperlink" Target="https://xhslink.cn/o/8iMa8Q9jG2g" TargetMode="External"/><Relationship Id="rId2" Type="http://schemas.openxmlformats.org/officeDocument/2006/relationships/hyperlink" Target="https://xhslink.cn/o/4IKvakTtmP4" TargetMode="External"/><Relationship Id="rId1" Type="http://schemas.openxmlformats.org/officeDocument/2006/relationships/hyperlink" Target="https://sotosakiyuuko.github.io/pazugiri-calc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4"/>
  <sheetViews>
    <sheetView tabSelected="1" workbookViewId="0">
      <pane xSplit="4" ySplit="3" topLeftCell="E55" activePane="bottomRight" state="frozen"/>
      <selection/>
      <selection pane="topRight"/>
      <selection pane="bottomLeft"/>
      <selection pane="bottomRight" activeCell="P67" sqref="P67"/>
    </sheetView>
  </sheetViews>
  <sheetFormatPr defaultColWidth="9" defaultRowHeight="13.8"/>
  <cols>
    <col min="1" max="1" width="5.14814814814815" style="12" customWidth="1"/>
    <col min="2" max="2" width="10.4166666666667" style="12" customWidth="1"/>
    <col min="3" max="3" width="1.22222222222222" style="12" customWidth="1"/>
    <col min="4" max="4" width="6.99074074074074" style="12" customWidth="1"/>
    <col min="5" max="5" width="8.61111111111111" style="15"/>
    <col min="6" max="8" width="10.3425925925926" style="12" customWidth="1"/>
    <col min="9" max="9" width="12.1388888888889" style="12" customWidth="1"/>
    <col min="10" max="10" width="6.75" style="12" customWidth="1"/>
    <col min="11" max="11" width="13.9444444444444" style="12" customWidth="1"/>
    <col min="12" max="12" width="2.94444444444444" style="12" customWidth="1"/>
    <col min="13" max="13" width="15.4907407407407" style="12" customWidth="1"/>
    <col min="14" max="27" width="8.61111111111111" style="12"/>
  </cols>
  <sheetData>
    <row r="1" s="143" customFormat="1" ht="24" customHeight="1" spans="1:20">
      <c r="A1" s="145" t="s">
        <v>0</v>
      </c>
      <c r="B1" s="145" t="s">
        <v>1</v>
      </c>
      <c r="C1" s="143"/>
      <c r="D1" s="145" t="s">
        <v>2</v>
      </c>
      <c r="E1" s="145" t="s">
        <v>3</v>
      </c>
      <c r="F1" s="145" t="s">
        <v>4</v>
      </c>
      <c r="G1" s="146"/>
      <c r="H1" s="146"/>
      <c r="I1" s="146"/>
      <c r="J1" s="146"/>
      <c r="K1" s="146"/>
      <c r="L1" s="143"/>
      <c r="M1" s="143" t="s">
        <v>5</v>
      </c>
    </row>
    <row r="2" s="144" customFormat="1" ht="13.2" spans="1:20">
      <c r="A2" s="147" t="s">
        <v>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7" t="s">
        <v>7</v>
      </c>
      <c r="N2" s="148"/>
      <c r="O2" s="148"/>
      <c r="P2" s="148"/>
      <c r="Q2" s="148"/>
      <c r="R2" s="148"/>
      <c r="S2" s="148"/>
      <c r="T2" s="148"/>
    </row>
    <row r="3" s="144" customFormat="1" ht="13.2" spans="1:20">
      <c r="A3" s="147" t="s">
        <v>8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8" t="s">
        <v>9</v>
      </c>
      <c r="N3" s="148"/>
      <c r="O3" s="148"/>
      <c r="P3" s="148"/>
      <c r="Q3" s="148"/>
      <c r="R3" s="148"/>
      <c r="S3" s="148"/>
      <c r="T3" s="148"/>
    </row>
    <row r="4" spans="1:20">
      <c r="A4" s="149" t="s">
        <v>10</v>
      </c>
      <c r="B4" s="150" t="s">
        <v>11</v>
      </c>
      <c r="C4" s="151"/>
      <c r="D4" s="152" t="s">
        <v>12</v>
      </c>
      <c r="E4" s="153" t="s">
        <v>13</v>
      </c>
      <c r="F4" s="154" t="s">
        <v>14</v>
      </c>
      <c r="G4" s="154" t="s">
        <v>15</v>
      </c>
      <c r="H4" s="154"/>
      <c r="I4" s="154"/>
      <c r="J4" s="154"/>
      <c r="K4" s="154"/>
      <c r="L4" s="154"/>
      <c r="M4" s="154" t="s">
        <v>16</v>
      </c>
    </row>
    <row r="5" spans="1:20">
      <c r="A5" s="146"/>
      <c r="B5" s="146"/>
      <c r="C5" s="5"/>
      <c r="D5" s="146"/>
      <c r="E5" s="153" t="s">
        <v>17</v>
      </c>
      <c r="F5" s="154" t="s">
        <v>18</v>
      </c>
      <c r="G5" s="154" t="s">
        <v>19</v>
      </c>
      <c r="H5" s="154" t="s">
        <v>15</v>
      </c>
      <c r="I5" s="154" t="s">
        <v>20</v>
      </c>
      <c r="J5" s="154"/>
      <c r="K5" s="154"/>
      <c r="L5" s="154"/>
      <c r="M5" s="154" t="s">
        <v>21</v>
      </c>
    </row>
    <row r="6" spans="1:20">
      <c r="A6" s="146"/>
      <c r="B6" s="146"/>
      <c r="C6" s="5"/>
      <c r="D6" s="146"/>
      <c r="E6" s="153" t="s">
        <v>22</v>
      </c>
      <c r="F6" s="154" t="s">
        <v>23</v>
      </c>
      <c r="G6" s="154" t="s">
        <v>24</v>
      </c>
      <c r="H6" s="154" t="s">
        <v>25</v>
      </c>
      <c r="I6" s="154" t="s">
        <v>26</v>
      </c>
      <c r="J6" s="154" t="s">
        <v>27</v>
      </c>
      <c r="K6" s="154" t="s">
        <v>28</v>
      </c>
      <c r="L6" s="154"/>
      <c r="M6" s="154" t="s">
        <v>21</v>
      </c>
    </row>
    <row r="7" spans="1:20">
      <c r="A7" s="146"/>
      <c r="B7" s="146"/>
      <c r="C7" s="155"/>
      <c r="D7" s="156" t="s">
        <v>29</v>
      </c>
      <c r="E7" s="156" t="s">
        <v>13</v>
      </c>
      <c r="F7" s="157" t="s">
        <v>30</v>
      </c>
      <c r="G7" s="157" t="s">
        <v>31</v>
      </c>
      <c r="H7" s="157"/>
      <c r="I7" s="157"/>
      <c r="J7" s="157"/>
      <c r="K7" s="157"/>
      <c r="L7" s="157"/>
      <c r="M7" s="157" t="s">
        <v>32</v>
      </c>
    </row>
    <row r="8" spans="1:20">
      <c r="A8" s="146"/>
      <c r="B8" s="146"/>
      <c r="C8" s="5"/>
      <c r="D8" s="146"/>
      <c r="E8" s="156" t="s">
        <v>17</v>
      </c>
      <c r="F8" s="157" t="s">
        <v>33</v>
      </c>
      <c r="G8" s="157" t="s">
        <v>34</v>
      </c>
      <c r="H8" s="157" t="s">
        <v>15</v>
      </c>
      <c r="I8" s="157" t="s">
        <v>20</v>
      </c>
      <c r="J8" s="157"/>
      <c r="K8" s="157"/>
      <c r="L8" s="157"/>
      <c r="M8" s="157"/>
    </row>
    <row r="9" spans="1:20">
      <c r="A9" s="146"/>
      <c r="B9" s="146"/>
      <c r="C9" s="5"/>
      <c r="D9" s="146"/>
      <c r="E9" s="156" t="s">
        <v>22</v>
      </c>
      <c r="F9" s="157" t="s">
        <v>23</v>
      </c>
      <c r="G9" s="157" t="s">
        <v>35</v>
      </c>
      <c r="H9" s="157" t="s">
        <v>25</v>
      </c>
      <c r="I9" s="157" t="s">
        <v>26</v>
      </c>
      <c r="J9" s="157" t="s">
        <v>36</v>
      </c>
      <c r="K9" s="157" t="s">
        <v>28</v>
      </c>
      <c r="L9" s="157"/>
      <c r="M9" s="157" t="s">
        <v>37</v>
      </c>
    </row>
    <row r="10" spans="1:20">
      <c r="A10" s="146"/>
      <c r="B10" s="150" t="s">
        <v>38</v>
      </c>
      <c r="C10" s="158"/>
      <c r="D10" s="152" t="s">
        <v>12</v>
      </c>
      <c r="E10" s="153" t="s">
        <v>13</v>
      </c>
      <c r="F10" s="154" t="s">
        <v>39</v>
      </c>
      <c r="G10" s="154" t="s">
        <v>34</v>
      </c>
      <c r="H10" s="154"/>
      <c r="I10" s="154"/>
      <c r="J10" s="154"/>
      <c r="K10" s="154"/>
      <c r="L10" s="154"/>
      <c r="M10" s="154" t="s">
        <v>40</v>
      </c>
    </row>
    <row r="11" spans="1:20">
      <c r="A11" s="146"/>
      <c r="B11" s="146"/>
      <c r="C11" s="5"/>
      <c r="D11" s="146"/>
      <c r="E11" s="153" t="s">
        <v>17</v>
      </c>
      <c r="F11" s="154"/>
      <c r="G11" s="154"/>
      <c r="H11" s="154"/>
      <c r="I11" s="154"/>
      <c r="J11" s="154"/>
      <c r="K11" s="154"/>
      <c r="L11" s="154"/>
      <c r="M11" s="154"/>
    </row>
    <row r="12" spans="1:20">
      <c r="A12" s="146"/>
      <c r="B12" s="146"/>
      <c r="C12" s="5"/>
      <c r="D12" s="146"/>
      <c r="E12" s="153" t="s">
        <v>22</v>
      </c>
      <c r="F12" s="154" t="s">
        <v>41</v>
      </c>
      <c r="G12" s="154" t="s">
        <v>42</v>
      </c>
      <c r="H12" s="154" t="s">
        <v>43</v>
      </c>
      <c r="I12" s="154" t="s">
        <v>44</v>
      </c>
      <c r="J12" s="154" t="s">
        <v>36</v>
      </c>
      <c r="K12" s="154" t="s">
        <v>28</v>
      </c>
      <c r="L12" s="154"/>
      <c r="M12" s="154" t="s">
        <v>45</v>
      </c>
    </row>
    <row r="13" spans="1:20">
      <c r="A13" s="146"/>
      <c r="B13" s="150" t="s">
        <v>46</v>
      </c>
      <c r="C13" s="151"/>
      <c r="D13" s="152" t="s">
        <v>12</v>
      </c>
      <c r="E13" s="153" t="s">
        <v>13</v>
      </c>
      <c r="F13" s="154" t="s">
        <v>14</v>
      </c>
      <c r="G13" s="154" t="s">
        <v>15</v>
      </c>
      <c r="H13" s="154"/>
      <c r="I13" s="154"/>
      <c r="J13" s="154"/>
      <c r="K13" s="154"/>
      <c r="L13" s="154"/>
      <c r="M13" s="154" t="s">
        <v>47</v>
      </c>
    </row>
    <row r="14" spans="1:20">
      <c r="A14" s="146"/>
      <c r="B14" s="146"/>
      <c r="C14" s="5"/>
      <c r="D14" s="146"/>
      <c r="E14" s="153" t="s">
        <v>17</v>
      </c>
      <c r="F14" s="154" t="s">
        <v>33</v>
      </c>
      <c r="G14" s="154" t="s">
        <v>48</v>
      </c>
      <c r="H14" s="154" t="s">
        <v>49</v>
      </c>
      <c r="I14" s="154" t="s">
        <v>19</v>
      </c>
      <c r="J14" s="154"/>
      <c r="K14" s="154"/>
      <c r="L14" s="154"/>
      <c r="M14" s="154" t="s">
        <v>21</v>
      </c>
    </row>
    <row r="15" spans="1:20">
      <c r="A15" s="146"/>
      <c r="B15" s="146"/>
      <c r="C15" s="5"/>
      <c r="D15" s="146"/>
      <c r="E15" s="153" t="s">
        <v>22</v>
      </c>
      <c r="F15" s="154" t="s">
        <v>50</v>
      </c>
      <c r="G15" s="154" t="s">
        <v>51</v>
      </c>
      <c r="H15" s="154" t="s">
        <v>52</v>
      </c>
      <c r="I15" s="154" t="s">
        <v>53</v>
      </c>
      <c r="J15" s="154" t="s">
        <v>27</v>
      </c>
      <c r="K15" s="154" t="s">
        <v>54</v>
      </c>
      <c r="L15" s="154"/>
      <c r="M15" s="154" t="s">
        <v>55</v>
      </c>
    </row>
    <row r="16" spans="1:20">
      <c r="A16" s="146"/>
      <c r="B16" s="150" t="s">
        <v>56</v>
      </c>
      <c r="C16" s="151"/>
      <c r="D16" s="152" t="s">
        <v>12</v>
      </c>
      <c r="E16" s="153" t="s">
        <v>13</v>
      </c>
      <c r="F16" s="154" t="s">
        <v>14</v>
      </c>
      <c r="G16" s="154" t="s">
        <v>15</v>
      </c>
      <c r="H16" s="154"/>
      <c r="I16" s="154"/>
      <c r="J16" s="154"/>
      <c r="K16" s="154"/>
      <c r="L16" s="154"/>
      <c r="M16" s="154" t="s">
        <v>57</v>
      </c>
    </row>
    <row r="17" spans="1:13">
      <c r="A17" s="146"/>
      <c r="B17" s="146"/>
      <c r="C17" s="5"/>
      <c r="D17" s="146"/>
      <c r="E17" s="153" t="s">
        <v>17</v>
      </c>
      <c r="F17" s="154" t="s">
        <v>33</v>
      </c>
      <c r="G17" s="154" t="s">
        <v>19</v>
      </c>
      <c r="H17" s="154" t="s">
        <v>58</v>
      </c>
      <c r="I17" s="154" t="s">
        <v>59</v>
      </c>
      <c r="J17" s="154"/>
      <c r="K17" s="154"/>
      <c r="L17" s="154"/>
      <c r="M17" s="154" t="s">
        <v>60</v>
      </c>
    </row>
    <row r="18" spans="1:13">
      <c r="A18" s="146"/>
      <c r="B18" s="146"/>
      <c r="C18" s="5"/>
      <c r="D18" s="146"/>
      <c r="E18" s="153" t="s">
        <v>22</v>
      </c>
      <c r="F18" s="154"/>
      <c r="G18" s="154"/>
      <c r="H18" s="154"/>
      <c r="I18" s="154"/>
      <c r="J18" s="154"/>
      <c r="K18" s="154"/>
      <c r="L18" s="154"/>
      <c r="M18" s="154"/>
    </row>
    <row r="19" spans="1:13">
      <c r="A19" s="159" t="s">
        <v>61</v>
      </c>
      <c r="B19" s="150" t="s">
        <v>62</v>
      </c>
      <c r="C19" s="155"/>
      <c r="D19" s="152" t="s">
        <v>12</v>
      </c>
      <c r="E19" s="153" t="s">
        <v>13</v>
      </c>
      <c r="F19" s="154" t="s">
        <v>39</v>
      </c>
      <c r="G19" s="154" t="s">
        <v>58</v>
      </c>
      <c r="H19" s="154"/>
      <c r="I19" s="154"/>
      <c r="J19" s="154"/>
      <c r="K19" s="154"/>
      <c r="L19" s="154"/>
    </row>
    <row r="20" spans="1:13">
      <c r="A20" s="146"/>
      <c r="B20" s="146"/>
      <c r="C20" s="160"/>
      <c r="D20" s="146"/>
      <c r="E20" s="153" t="s">
        <v>17</v>
      </c>
      <c r="F20" s="154" t="s">
        <v>63</v>
      </c>
      <c r="G20" s="154" t="s">
        <v>58</v>
      </c>
      <c r="H20" s="154" t="s">
        <v>39</v>
      </c>
      <c r="I20" s="154" t="s">
        <v>64</v>
      </c>
      <c r="J20" s="154"/>
      <c r="K20" s="154"/>
      <c r="L20" s="154"/>
      <c r="M20" t="s">
        <v>45</v>
      </c>
    </row>
    <row r="21" spans="1:13">
      <c r="A21" s="146"/>
      <c r="B21" s="146"/>
      <c r="C21" s="160"/>
      <c r="D21" s="146"/>
      <c r="E21" s="153" t="s">
        <v>22</v>
      </c>
      <c r="F21" s="161" t="s">
        <v>23</v>
      </c>
      <c r="G21" s="161" t="s">
        <v>65</v>
      </c>
      <c r="H21" s="161" t="s">
        <v>25</v>
      </c>
      <c r="I21" s="162" t="s">
        <v>66</v>
      </c>
      <c r="J21" s="161" t="s">
        <v>67</v>
      </c>
      <c r="K21" s="161" t="s">
        <v>68</v>
      </c>
      <c r="L21" s="154"/>
    </row>
    <row r="22" spans="1:13">
      <c r="A22" s="146"/>
      <c r="B22" s="146"/>
      <c r="C22" s="158"/>
      <c r="D22" s="156" t="s">
        <v>29</v>
      </c>
      <c r="E22" s="156" t="s">
        <v>13</v>
      </c>
      <c r="F22" s="157" t="s">
        <v>30</v>
      </c>
      <c r="G22" s="157" t="s">
        <v>69</v>
      </c>
      <c r="H22" s="157"/>
      <c r="I22" s="157"/>
      <c r="J22" s="157"/>
      <c r="K22" s="157"/>
      <c r="L22" s="157"/>
      <c r="M22" s="157" t="s">
        <v>70</v>
      </c>
    </row>
    <row r="23" spans="1:13">
      <c r="A23" s="146"/>
      <c r="B23" s="146"/>
      <c r="C23" s="160"/>
      <c r="D23" s="146"/>
      <c r="E23" s="156" t="s">
        <v>17</v>
      </c>
      <c r="F23" s="157" t="s">
        <v>71</v>
      </c>
      <c r="G23" s="157" t="s">
        <v>72</v>
      </c>
      <c r="H23" s="157" t="s">
        <v>73</v>
      </c>
      <c r="I23" s="157" t="s">
        <v>74</v>
      </c>
      <c r="J23" s="157"/>
      <c r="K23" s="157"/>
      <c r="L23" s="157"/>
      <c r="M23" s="157" t="s">
        <v>75</v>
      </c>
    </row>
    <row r="24" spans="1:13">
      <c r="A24" s="146"/>
      <c r="B24" s="146"/>
      <c r="C24" s="160"/>
      <c r="D24" s="146"/>
      <c r="E24" s="156" t="s">
        <v>22</v>
      </c>
      <c r="F24" s="157" t="s">
        <v>41</v>
      </c>
      <c r="G24" s="157" t="s">
        <v>35</v>
      </c>
      <c r="H24" s="157" t="s">
        <v>25</v>
      </c>
      <c r="I24" s="157" t="s">
        <v>76</v>
      </c>
      <c r="J24" s="157" t="s">
        <v>36</v>
      </c>
      <c r="K24" s="157" t="s">
        <v>68</v>
      </c>
      <c r="L24" s="157"/>
      <c r="M24" s="157" t="s">
        <v>77</v>
      </c>
    </row>
    <row r="25" spans="1:13">
      <c r="A25" s="146"/>
      <c r="B25" s="15" t="s">
        <v>78</v>
      </c>
      <c r="C25" s="158"/>
      <c r="D25" s="152" t="s">
        <v>12</v>
      </c>
      <c r="E25" s="153" t="s">
        <v>13</v>
      </c>
      <c r="F25" s="154" t="s">
        <v>39</v>
      </c>
      <c r="G25" s="154" t="s">
        <v>58</v>
      </c>
      <c r="H25" s="154"/>
      <c r="I25" s="154"/>
      <c r="J25" s="154"/>
      <c r="K25" s="154"/>
      <c r="L25" s="154"/>
      <c r="M25" s="154" t="s">
        <v>32</v>
      </c>
    </row>
    <row r="26" spans="1:13">
      <c r="A26" s="146"/>
      <c r="B26" s="146"/>
      <c r="C26" s="160"/>
      <c r="D26" s="146"/>
      <c r="E26" s="153" t="s">
        <v>17</v>
      </c>
      <c r="F26" s="154" t="s">
        <v>33</v>
      </c>
      <c r="G26" s="154" t="s">
        <v>34</v>
      </c>
      <c r="H26" s="154" t="s">
        <v>79</v>
      </c>
      <c r="I26" s="154" t="s">
        <v>19</v>
      </c>
      <c r="J26" s="154"/>
      <c r="K26" s="154"/>
      <c r="L26" s="154"/>
      <c r="M26" s="154" t="s">
        <v>80</v>
      </c>
    </row>
    <row r="27" spans="1:13">
      <c r="A27" s="146"/>
      <c r="B27" s="146"/>
      <c r="C27" s="160"/>
      <c r="D27" s="146"/>
      <c r="E27" s="153" t="s">
        <v>22</v>
      </c>
      <c r="F27" s="154" t="s">
        <v>41</v>
      </c>
      <c r="G27" s="154" t="s">
        <v>65</v>
      </c>
      <c r="H27" s="154" t="s">
        <v>25</v>
      </c>
      <c r="I27" s="154" t="s">
        <v>66</v>
      </c>
      <c r="J27" s="154" t="s">
        <v>36</v>
      </c>
      <c r="K27" s="154" t="s">
        <v>68</v>
      </c>
      <c r="L27" s="154"/>
      <c r="M27" s="154" t="s">
        <v>45</v>
      </c>
    </row>
    <row r="28" spans="1:13">
      <c r="A28" s="146"/>
      <c r="B28" s="150" t="s">
        <v>81</v>
      </c>
      <c r="C28" s="155"/>
      <c r="D28" s="152" t="s">
        <v>12</v>
      </c>
      <c r="E28" s="153" t="s">
        <v>13</v>
      </c>
      <c r="F28" s="154" t="s">
        <v>39</v>
      </c>
      <c r="G28" s="154" t="s">
        <v>58</v>
      </c>
      <c r="H28" s="154"/>
      <c r="I28" s="154"/>
      <c r="J28" s="154"/>
      <c r="K28" s="154"/>
      <c r="L28" s="154"/>
      <c r="M28" s="154" t="s">
        <v>40</v>
      </c>
    </row>
    <row r="29" spans="1:13">
      <c r="A29" s="146"/>
      <c r="B29" s="146"/>
      <c r="C29" s="160"/>
      <c r="D29" s="146"/>
      <c r="E29" s="153" t="s">
        <v>17</v>
      </c>
      <c r="F29" s="154"/>
      <c r="G29" s="154"/>
      <c r="H29" s="154"/>
      <c r="I29" s="154"/>
      <c r="J29" s="154"/>
      <c r="K29" s="154"/>
      <c r="L29" s="154"/>
      <c r="M29" s="154"/>
    </row>
    <row r="30" spans="1:13">
      <c r="A30" s="146"/>
      <c r="B30" s="146"/>
      <c r="C30" s="160"/>
      <c r="D30" s="146"/>
      <c r="E30" s="153" t="s">
        <v>22</v>
      </c>
      <c r="F30" s="154" t="s">
        <v>82</v>
      </c>
      <c r="G30" s="154" t="s">
        <v>83</v>
      </c>
      <c r="H30" s="154" t="s">
        <v>84</v>
      </c>
      <c r="I30" s="154" t="s">
        <v>53</v>
      </c>
      <c r="J30" s="154" t="s">
        <v>85</v>
      </c>
      <c r="K30" s="154" t="s">
        <v>86</v>
      </c>
      <c r="L30" s="154"/>
      <c r="M30" s="154" t="s">
        <v>77</v>
      </c>
    </row>
    <row r="31" spans="1:13">
      <c r="A31" s="146"/>
      <c r="B31" s="146"/>
      <c r="C31" s="155"/>
      <c r="D31" s="156" t="s">
        <v>29</v>
      </c>
      <c r="E31" s="156" t="s">
        <v>13</v>
      </c>
      <c r="F31" s="157" t="s">
        <v>87</v>
      </c>
      <c r="G31" s="157" t="s">
        <v>88</v>
      </c>
      <c r="H31" s="157"/>
      <c r="I31" s="157"/>
      <c r="J31" s="157"/>
      <c r="K31" s="157"/>
      <c r="L31" s="157"/>
      <c r="M31" s="157" t="s">
        <v>89</v>
      </c>
    </row>
    <row r="32" spans="1:13">
      <c r="A32" s="146"/>
      <c r="B32" s="146"/>
      <c r="C32" s="160"/>
      <c r="D32" s="146"/>
      <c r="E32" s="156" t="s">
        <v>17</v>
      </c>
      <c r="F32" s="157" t="s">
        <v>33</v>
      </c>
      <c r="G32" s="157" t="s">
        <v>90</v>
      </c>
      <c r="H32" s="157" t="s">
        <v>58</v>
      </c>
      <c r="I32" s="157" t="s">
        <v>91</v>
      </c>
      <c r="J32" s="157"/>
      <c r="K32" s="157"/>
      <c r="L32" s="157"/>
      <c r="M32" s="157" t="s">
        <v>70</v>
      </c>
    </row>
    <row r="33" spans="1:13">
      <c r="A33" s="146"/>
      <c r="B33" s="146"/>
      <c r="C33" s="160"/>
      <c r="D33" s="146"/>
      <c r="E33" s="156" t="s">
        <v>22</v>
      </c>
      <c r="F33" s="157" t="s">
        <v>23</v>
      </c>
      <c r="G33" s="157" t="s">
        <v>35</v>
      </c>
      <c r="H33" s="157" t="s">
        <v>25</v>
      </c>
      <c r="I33" s="157" t="s">
        <v>66</v>
      </c>
      <c r="J33" s="157" t="s">
        <v>67</v>
      </c>
      <c r="K33" s="157" t="s">
        <v>68</v>
      </c>
      <c r="L33" s="157"/>
      <c r="M33" s="157" t="s">
        <v>37</v>
      </c>
    </row>
    <row r="34" spans="1:13">
      <c r="A34" s="146"/>
      <c r="B34" s="150" t="s">
        <v>92</v>
      </c>
      <c r="C34" s="155"/>
      <c r="D34" s="152" t="s">
        <v>12</v>
      </c>
      <c r="E34" s="153" t="s">
        <v>13</v>
      </c>
      <c r="F34" s="154" t="s">
        <v>58</v>
      </c>
      <c r="G34" s="154" t="s">
        <v>48</v>
      </c>
      <c r="H34" s="154"/>
      <c r="I34" s="154"/>
      <c r="J34" s="154"/>
      <c r="K34" s="154"/>
      <c r="L34" s="154"/>
      <c r="M34" s="154" t="s">
        <v>32</v>
      </c>
    </row>
    <row r="35" spans="1:13">
      <c r="A35" s="146"/>
      <c r="B35" s="146"/>
      <c r="C35" s="160"/>
      <c r="D35" s="146"/>
      <c r="E35" s="153" t="s">
        <v>17</v>
      </c>
      <c r="F35" s="154"/>
      <c r="G35" s="154"/>
      <c r="H35" s="154"/>
      <c r="I35" s="154"/>
      <c r="J35" s="154"/>
      <c r="K35" s="154"/>
      <c r="L35" s="154"/>
      <c r="M35" s="154"/>
    </row>
    <row r="36" spans="1:13">
      <c r="A36" s="146"/>
      <c r="B36" s="146"/>
      <c r="C36" s="160"/>
      <c r="D36" s="146"/>
      <c r="E36" s="153" t="s">
        <v>22</v>
      </c>
      <c r="F36" s="154"/>
      <c r="G36" s="154"/>
      <c r="H36" s="154"/>
      <c r="I36" s="154"/>
      <c r="J36" s="154"/>
      <c r="K36" s="154"/>
      <c r="L36" s="154"/>
      <c r="M36" s="154"/>
    </row>
    <row r="37" spans="1:13">
      <c r="A37" s="146"/>
      <c r="B37" s="150" t="s">
        <v>93</v>
      </c>
      <c r="C37" s="151"/>
      <c r="D37" s="152" t="s">
        <v>12</v>
      </c>
      <c r="E37" s="153" t="s">
        <v>13</v>
      </c>
      <c r="F37" s="154" t="s">
        <v>39</v>
      </c>
      <c r="G37" s="154" t="s">
        <v>58</v>
      </c>
      <c r="H37" s="154"/>
      <c r="I37" s="154"/>
      <c r="J37" s="154"/>
      <c r="K37" s="154"/>
      <c r="L37" s="154"/>
      <c r="M37" s="154"/>
    </row>
    <row r="38" spans="1:13">
      <c r="A38" s="146"/>
      <c r="B38" s="146"/>
      <c r="C38" s="160"/>
      <c r="D38" s="146"/>
      <c r="E38" s="153" t="s">
        <v>17</v>
      </c>
      <c r="F38" s="154" t="s">
        <v>63</v>
      </c>
      <c r="G38" s="154" t="s">
        <v>15</v>
      </c>
      <c r="H38" s="154" t="s">
        <v>58</v>
      </c>
      <c r="I38" s="154" t="s">
        <v>64</v>
      </c>
      <c r="J38" s="154"/>
      <c r="K38" s="154"/>
      <c r="L38" s="154"/>
      <c r="M38" s="154" t="s">
        <v>21</v>
      </c>
    </row>
    <row r="39" spans="1:13">
      <c r="A39" s="146"/>
      <c r="B39" s="146"/>
      <c r="C39" s="160"/>
      <c r="D39" s="146"/>
      <c r="E39" s="153" t="s">
        <v>22</v>
      </c>
      <c r="F39" s="154" t="s">
        <v>94</v>
      </c>
      <c r="G39" s="154" t="s">
        <v>65</v>
      </c>
      <c r="H39" s="154" t="s">
        <v>25</v>
      </c>
      <c r="I39" s="154" t="s">
        <v>95</v>
      </c>
      <c r="J39" s="154" t="s">
        <v>67</v>
      </c>
      <c r="K39" s="154" t="s">
        <v>68</v>
      </c>
      <c r="L39" s="154"/>
      <c r="M39" s="154" t="s">
        <v>60</v>
      </c>
    </row>
    <row r="40" spans="1:13">
      <c r="A40" s="146"/>
      <c r="B40" s="150" t="s">
        <v>96</v>
      </c>
      <c r="C40" s="158"/>
      <c r="D40" s="152" t="s">
        <v>12</v>
      </c>
      <c r="E40" s="153" t="s">
        <v>13</v>
      </c>
      <c r="F40" s="154" t="s">
        <v>39</v>
      </c>
      <c r="G40" s="154" t="s">
        <v>58</v>
      </c>
      <c r="H40" s="154"/>
      <c r="I40" s="154"/>
      <c r="J40" s="154"/>
      <c r="K40" s="154"/>
      <c r="L40" s="154"/>
      <c r="M40" s="154" t="s">
        <v>57</v>
      </c>
    </row>
    <row r="41" spans="1:13">
      <c r="A41" s="146"/>
      <c r="B41" s="146"/>
      <c r="C41" s="160"/>
      <c r="D41" s="146"/>
      <c r="E41" s="153" t="s">
        <v>17</v>
      </c>
      <c r="F41" s="154" t="s">
        <v>33</v>
      </c>
      <c r="G41" s="154" t="s">
        <v>15</v>
      </c>
      <c r="H41" s="154" t="s">
        <v>97</v>
      </c>
      <c r="I41" s="154" t="s">
        <v>91</v>
      </c>
      <c r="J41" s="154"/>
      <c r="K41" s="154"/>
      <c r="L41" s="154"/>
      <c r="M41" s="154" t="s">
        <v>40</v>
      </c>
    </row>
    <row r="42" spans="1:13">
      <c r="A42" s="146"/>
      <c r="B42" s="146"/>
      <c r="C42" s="160"/>
      <c r="D42" s="146"/>
      <c r="E42" s="153" t="s">
        <v>22</v>
      </c>
      <c r="F42" s="154" t="s">
        <v>41</v>
      </c>
      <c r="G42" s="154" t="s">
        <v>42</v>
      </c>
      <c r="H42" s="154" t="s">
        <v>43</v>
      </c>
      <c r="I42" s="154" t="s">
        <v>66</v>
      </c>
      <c r="J42" s="154" t="s">
        <v>67</v>
      </c>
      <c r="K42" s="154" t="s">
        <v>68</v>
      </c>
      <c r="L42" s="154"/>
      <c r="M42" s="154" t="s">
        <v>98</v>
      </c>
    </row>
    <row r="43" spans="1:13">
      <c r="A43" s="146"/>
      <c r="B43" s="150" t="s">
        <v>99</v>
      </c>
      <c r="C43" s="158"/>
      <c r="D43" s="152" t="s">
        <v>12</v>
      </c>
      <c r="E43" s="153" t="s">
        <v>13</v>
      </c>
      <c r="F43" s="154" t="s">
        <v>58</v>
      </c>
      <c r="G43" s="154" t="s">
        <v>48</v>
      </c>
      <c r="H43" s="154"/>
      <c r="I43" s="154"/>
      <c r="J43" s="154"/>
      <c r="K43" s="154"/>
      <c r="L43" s="154"/>
      <c r="M43" s="154"/>
    </row>
    <row r="44" spans="1:13">
      <c r="A44" s="146"/>
      <c r="B44" s="146"/>
      <c r="C44" s="160"/>
      <c r="D44" s="146"/>
      <c r="E44" s="153" t="s">
        <v>17</v>
      </c>
      <c r="F44" s="154" t="s">
        <v>33</v>
      </c>
      <c r="G44" s="154" t="s">
        <v>19</v>
      </c>
      <c r="H44" s="154" t="s">
        <v>58</v>
      </c>
      <c r="I44" s="154" t="s">
        <v>100</v>
      </c>
      <c r="J44" s="154"/>
      <c r="K44" s="154"/>
      <c r="L44" s="154"/>
      <c r="M44" s="154" t="s">
        <v>21</v>
      </c>
    </row>
    <row r="45" spans="1:13">
      <c r="A45" s="146"/>
      <c r="B45" s="146"/>
      <c r="C45" s="160"/>
      <c r="D45" s="146"/>
      <c r="E45" s="153" t="s">
        <v>22</v>
      </c>
      <c r="F45" s="154" t="s">
        <v>41</v>
      </c>
      <c r="G45" s="154" t="s">
        <v>42</v>
      </c>
      <c r="H45" s="154" t="s">
        <v>43</v>
      </c>
      <c r="I45" s="154" t="s">
        <v>26</v>
      </c>
      <c r="J45" s="154" t="s">
        <v>36</v>
      </c>
      <c r="K45" s="154" t="s">
        <v>68</v>
      </c>
      <c r="L45" s="154"/>
      <c r="M45" s="154" t="s">
        <v>21</v>
      </c>
    </row>
    <row r="46" spans="1:13">
      <c r="A46" s="146"/>
      <c r="B46" s="150" t="s">
        <v>101</v>
      </c>
      <c r="C46" s="158" t="s">
        <v>102</v>
      </c>
      <c r="D46" s="152" t="s">
        <v>12</v>
      </c>
      <c r="E46" s="153" t="s">
        <v>13</v>
      </c>
      <c r="F46" s="154" t="s">
        <v>15</v>
      </c>
      <c r="G46" s="154" t="s">
        <v>34</v>
      </c>
      <c r="H46" s="154"/>
      <c r="I46" s="154"/>
      <c r="J46" s="154"/>
      <c r="K46" s="154"/>
      <c r="L46" s="154"/>
      <c r="M46" s="154" t="s">
        <v>32</v>
      </c>
    </row>
    <row r="47" spans="1:13">
      <c r="A47" s="146"/>
      <c r="B47" s="146"/>
      <c r="C47" s="160"/>
      <c r="D47" s="146"/>
      <c r="E47" s="153" t="s">
        <v>17</v>
      </c>
      <c r="F47" s="154"/>
      <c r="G47" s="154"/>
      <c r="H47" s="23"/>
      <c r="I47" s="154"/>
      <c r="J47" s="154"/>
      <c r="K47" s="154"/>
      <c r="L47" s="154"/>
      <c r="M47" s="154"/>
    </row>
    <row r="48" spans="1:13">
      <c r="A48" s="146"/>
      <c r="B48" s="146"/>
      <c r="C48" s="160"/>
      <c r="D48" s="146"/>
      <c r="E48" s="153" t="s">
        <v>22</v>
      </c>
      <c r="F48" s="154" t="s">
        <v>41</v>
      </c>
      <c r="G48" s="154" t="s">
        <v>65</v>
      </c>
      <c r="H48" s="154" t="s">
        <v>25</v>
      </c>
      <c r="I48" s="154" t="s">
        <v>76</v>
      </c>
      <c r="J48" s="154" t="s">
        <v>36</v>
      </c>
      <c r="K48" s="154" t="s">
        <v>68</v>
      </c>
      <c r="L48" s="154"/>
      <c r="M48" s="154" t="s">
        <v>103</v>
      </c>
    </row>
    <row r="49" spans="1:13">
      <c r="A49" s="146"/>
      <c r="B49" s="150" t="s">
        <v>104</v>
      </c>
      <c r="C49" s="158" t="s">
        <v>102</v>
      </c>
      <c r="D49" s="152" t="s">
        <v>12</v>
      </c>
      <c r="E49" s="153" t="s">
        <v>13</v>
      </c>
      <c r="F49" s="154" t="s">
        <v>15</v>
      </c>
      <c r="G49" s="154" t="s">
        <v>34</v>
      </c>
      <c r="H49" s="154"/>
      <c r="I49" s="154"/>
      <c r="J49" s="154"/>
      <c r="K49" s="154"/>
      <c r="L49" s="154"/>
      <c r="M49" s="154"/>
    </row>
    <row r="50" spans="1:13">
      <c r="A50" s="146"/>
      <c r="B50" s="146"/>
      <c r="C50" s="160"/>
      <c r="D50" s="146"/>
      <c r="E50" s="153" t="s">
        <v>17</v>
      </c>
      <c r="F50" s="154"/>
      <c r="G50" s="154"/>
      <c r="H50" s="154"/>
      <c r="I50" s="154"/>
      <c r="J50" s="154"/>
      <c r="K50" s="154"/>
      <c r="L50" s="154"/>
      <c r="M50" s="154"/>
    </row>
    <row r="51" spans="1:13">
      <c r="A51" s="146"/>
      <c r="B51" s="146"/>
      <c r="C51" s="160"/>
      <c r="D51" s="146"/>
      <c r="E51" s="153" t="s">
        <v>22</v>
      </c>
      <c r="F51" s="154" t="s">
        <v>41</v>
      </c>
      <c r="G51" s="154" t="s">
        <v>105</v>
      </c>
      <c r="H51" s="154" t="s">
        <v>25</v>
      </c>
      <c r="I51" s="154" t="s">
        <v>26</v>
      </c>
      <c r="J51" s="154" t="s">
        <v>36</v>
      </c>
      <c r="K51" s="154" t="s">
        <v>68</v>
      </c>
      <c r="L51" s="154"/>
      <c r="M51" s="154" t="s">
        <v>106</v>
      </c>
    </row>
    <row r="52" spans="1:13">
      <c r="A52" s="163" t="s">
        <v>107</v>
      </c>
      <c r="B52" s="150" t="s">
        <v>108</v>
      </c>
      <c r="C52" s="151"/>
      <c r="D52" s="152" t="s">
        <v>12</v>
      </c>
      <c r="E52" s="153" t="s">
        <v>13</v>
      </c>
      <c r="F52" s="154" t="s">
        <v>39</v>
      </c>
      <c r="G52" s="154" t="s">
        <v>34</v>
      </c>
      <c r="H52" s="154"/>
      <c r="I52" s="154"/>
      <c r="J52" s="154"/>
      <c r="K52" s="154"/>
      <c r="L52" s="154"/>
      <c r="M52" s="154" t="s">
        <v>57</v>
      </c>
    </row>
    <row r="53" spans="1:13">
      <c r="A53" s="146"/>
      <c r="B53" s="146"/>
      <c r="C53" s="160"/>
      <c r="D53" s="146"/>
      <c r="E53" s="153" t="s">
        <v>17</v>
      </c>
      <c r="F53" s="154" t="s">
        <v>33</v>
      </c>
      <c r="G53" s="154" t="s">
        <v>14</v>
      </c>
      <c r="H53" s="154" t="s">
        <v>34</v>
      </c>
      <c r="I53" s="154" t="s">
        <v>109</v>
      </c>
      <c r="J53" s="154"/>
      <c r="K53" s="154"/>
      <c r="L53" s="154"/>
      <c r="M53" s="154" t="s">
        <v>110</v>
      </c>
    </row>
    <row r="54" spans="1:13">
      <c r="A54" s="146"/>
      <c r="B54" s="146"/>
      <c r="C54" s="160"/>
      <c r="D54" s="146"/>
      <c r="E54" s="153" t="s">
        <v>22</v>
      </c>
      <c r="F54" s="154" t="s">
        <v>41</v>
      </c>
      <c r="G54" s="154" t="s">
        <v>35</v>
      </c>
      <c r="H54" s="154" t="s">
        <v>43</v>
      </c>
      <c r="I54" s="154" t="s">
        <v>76</v>
      </c>
      <c r="J54" s="154" t="s">
        <v>67</v>
      </c>
      <c r="K54" s="154" t="s">
        <v>111</v>
      </c>
      <c r="L54" s="154"/>
      <c r="M54" s="154" t="s">
        <v>21</v>
      </c>
    </row>
    <row r="55" spans="1:13">
      <c r="A55" s="146"/>
      <c r="B55" s="146"/>
      <c r="C55" s="158" t="s">
        <v>102</v>
      </c>
      <c r="D55" s="156" t="s">
        <v>29</v>
      </c>
      <c r="E55" s="156" t="s">
        <v>13</v>
      </c>
      <c r="F55" s="157" t="s">
        <v>112</v>
      </c>
      <c r="G55" s="157" t="s">
        <v>113</v>
      </c>
      <c r="H55" s="157"/>
      <c r="I55" s="157"/>
      <c r="J55" s="157"/>
      <c r="K55" s="157"/>
      <c r="L55" s="157"/>
      <c r="M55" s="157" t="s">
        <v>21</v>
      </c>
    </row>
    <row r="56" spans="1:13">
      <c r="A56" s="146"/>
      <c r="B56" s="146"/>
      <c r="C56" s="160"/>
      <c r="D56" s="146" t="s">
        <v>29</v>
      </c>
      <c r="E56" s="156" t="s">
        <v>17</v>
      </c>
      <c r="F56" s="157" t="s">
        <v>63</v>
      </c>
      <c r="G56" s="157" t="s">
        <v>114</v>
      </c>
      <c r="H56" s="157" t="s">
        <v>79</v>
      </c>
      <c r="I56" s="157" t="s">
        <v>115</v>
      </c>
      <c r="J56" s="157"/>
      <c r="K56" s="157"/>
      <c r="L56" s="157"/>
      <c r="M56" s="157" t="s">
        <v>32</v>
      </c>
    </row>
    <row r="57" spans="1:13">
      <c r="A57" s="146"/>
      <c r="B57" s="146"/>
      <c r="C57" s="160"/>
      <c r="D57" s="146" t="s">
        <v>29</v>
      </c>
      <c r="E57" s="156" t="s">
        <v>22</v>
      </c>
      <c r="F57" s="164" t="s">
        <v>41</v>
      </c>
      <c r="G57" s="164" t="s">
        <v>35</v>
      </c>
      <c r="H57" s="164" t="s">
        <v>43</v>
      </c>
      <c r="I57" s="164" t="s">
        <v>76</v>
      </c>
      <c r="J57" s="164" t="s">
        <v>67</v>
      </c>
      <c r="K57" s="164" t="s">
        <v>111</v>
      </c>
      <c r="L57" s="157"/>
      <c r="M57" s="157"/>
    </row>
    <row r="58" spans="1:13">
      <c r="A58" s="146"/>
      <c r="B58" s="150" t="s">
        <v>116</v>
      </c>
      <c r="C58" s="151"/>
      <c r="D58" s="152" t="s">
        <v>12</v>
      </c>
      <c r="E58" s="153" t="s">
        <v>13</v>
      </c>
      <c r="F58" s="154" t="s">
        <v>39</v>
      </c>
      <c r="G58" s="154" t="s">
        <v>58</v>
      </c>
      <c r="H58" s="154"/>
      <c r="I58" s="154"/>
      <c r="J58" s="154"/>
      <c r="K58" s="154"/>
      <c r="L58" s="154"/>
      <c r="M58" s="154" t="s">
        <v>57</v>
      </c>
    </row>
    <row r="59" spans="1:13">
      <c r="A59" s="146"/>
      <c r="B59" s="146"/>
      <c r="C59" s="160"/>
      <c r="D59" s="146"/>
      <c r="E59" s="153" t="s">
        <v>17</v>
      </c>
      <c r="F59" s="154" t="s">
        <v>63</v>
      </c>
      <c r="G59" s="154" t="s">
        <v>58</v>
      </c>
      <c r="H59" s="154" t="s">
        <v>39</v>
      </c>
      <c r="I59" s="154" t="s">
        <v>64</v>
      </c>
      <c r="J59" s="154"/>
      <c r="K59" s="154"/>
      <c r="L59" s="154"/>
      <c r="M59" s="154"/>
    </row>
    <row r="60" spans="1:13">
      <c r="A60" s="146"/>
      <c r="B60" s="146"/>
      <c r="C60" s="160"/>
      <c r="D60" s="146"/>
      <c r="E60" s="153" t="s">
        <v>22</v>
      </c>
      <c r="F60" s="154" t="s">
        <v>41</v>
      </c>
      <c r="G60" s="154" t="s">
        <v>35</v>
      </c>
      <c r="H60" s="154" t="s">
        <v>43</v>
      </c>
      <c r="I60" s="154" t="s">
        <v>76</v>
      </c>
      <c r="J60" s="154" t="s">
        <v>67</v>
      </c>
      <c r="K60" s="154" t="s">
        <v>111</v>
      </c>
      <c r="L60" s="154"/>
      <c r="M60" s="154"/>
    </row>
    <row r="61" spans="1:13">
      <c r="A61" s="146"/>
      <c r="B61" s="150" t="s">
        <v>117</v>
      </c>
      <c r="C61" s="151"/>
      <c r="D61" s="152" t="s">
        <v>12</v>
      </c>
      <c r="E61" s="153" t="s">
        <v>13</v>
      </c>
      <c r="F61" s="154" t="s">
        <v>14</v>
      </c>
      <c r="G61" s="154" t="s">
        <v>48</v>
      </c>
      <c r="H61" s="154"/>
      <c r="I61" s="154"/>
      <c r="J61" s="154"/>
      <c r="K61" s="154"/>
      <c r="L61" s="154"/>
      <c r="M61" s="154"/>
    </row>
    <row r="62" spans="1:13">
      <c r="A62" s="146"/>
      <c r="B62" s="146"/>
      <c r="C62" s="160"/>
      <c r="D62" s="146"/>
      <c r="E62" s="153" t="s">
        <v>17</v>
      </c>
      <c r="F62" s="154" t="s">
        <v>63</v>
      </c>
      <c r="G62" s="154" t="s">
        <v>15</v>
      </c>
      <c r="H62" s="154" t="s">
        <v>58</v>
      </c>
      <c r="I62" s="154" t="s">
        <v>64</v>
      </c>
      <c r="J62" s="154"/>
      <c r="K62" s="154"/>
      <c r="L62" s="154"/>
      <c r="M62" s="154" t="s">
        <v>70</v>
      </c>
    </row>
    <row r="63" spans="1:13">
      <c r="A63" s="146"/>
      <c r="B63" s="146"/>
      <c r="C63" s="160"/>
      <c r="D63" s="146"/>
      <c r="E63" s="153" t="s">
        <v>22</v>
      </c>
      <c r="F63" s="154" t="s">
        <v>94</v>
      </c>
      <c r="G63" s="154" t="s">
        <v>65</v>
      </c>
      <c r="H63" s="154" t="s">
        <v>25</v>
      </c>
      <c r="I63" s="154" t="s">
        <v>66</v>
      </c>
      <c r="J63" s="154" t="s">
        <v>67</v>
      </c>
      <c r="K63" s="154" t="s">
        <v>111</v>
      </c>
      <c r="L63" s="154"/>
      <c r="M63" s="154" t="s">
        <v>118</v>
      </c>
    </row>
    <row r="64" spans="1:13">
      <c r="A64" s="146"/>
      <c r="B64" s="150" t="s">
        <v>119</v>
      </c>
      <c r="C64" s="158" t="s">
        <v>102</v>
      </c>
      <c r="D64" s="152" t="s">
        <v>12</v>
      </c>
      <c r="E64" s="153" t="s">
        <v>13</v>
      </c>
      <c r="F64" s="154" t="s">
        <v>14</v>
      </c>
      <c r="G64" s="154" t="s">
        <v>15</v>
      </c>
      <c r="H64" s="154"/>
      <c r="I64" s="154"/>
      <c r="J64" s="154"/>
      <c r="K64" s="154"/>
      <c r="L64" s="154"/>
      <c r="M64" s="165" t="s">
        <v>77</v>
      </c>
    </row>
    <row r="65" spans="1:13">
      <c r="A65" s="146"/>
      <c r="B65" s="146"/>
      <c r="C65" s="160"/>
      <c r="D65" s="146"/>
      <c r="E65" s="153" t="s">
        <v>17</v>
      </c>
      <c r="F65" s="154"/>
      <c r="G65" s="154"/>
      <c r="H65" s="154"/>
      <c r="I65" s="154"/>
      <c r="J65" s="154"/>
      <c r="K65" s="154"/>
      <c r="L65" s="154"/>
      <c r="M65" s="154"/>
    </row>
    <row r="66" spans="1:13">
      <c r="A66" s="146"/>
      <c r="B66" s="146"/>
      <c r="C66" s="160"/>
      <c r="D66" s="146"/>
      <c r="E66" s="153" t="s">
        <v>22</v>
      </c>
      <c r="F66" s="154" t="s">
        <v>41</v>
      </c>
      <c r="G66" s="154" t="s">
        <v>42</v>
      </c>
      <c r="H66" s="154" t="s">
        <v>43</v>
      </c>
      <c r="I66" s="154" t="s">
        <v>120</v>
      </c>
      <c r="J66" s="154" t="s">
        <v>36</v>
      </c>
      <c r="K66" s="154" t="s">
        <v>111</v>
      </c>
      <c r="L66" s="154"/>
      <c r="M66" s="154" t="s">
        <v>121</v>
      </c>
    </row>
    <row r="67" spans="1:13">
      <c r="A67" s="146"/>
      <c r="B67" s="150" t="s">
        <v>122</v>
      </c>
      <c r="C67" s="155"/>
      <c r="D67" s="152" t="s">
        <v>12</v>
      </c>
      <c r="E67" s="153" t="s">
        <v>13</v>
      </c>
      <c r="F67" s="154" t="s">
        <v>39</v>
      </c>
      <c r="G67" s="154" t="s">
        <v>34</v>
      </c>
      <c r="H67" s="154"/>
      <c r="I67" s="154"/>
      <c r="J67" s="154"/>
      <c r="K67" s="154"/>
      <c r="L67" s="154"/>
      <c r="M67" s="154" t="s">
        <v>60</v>
      </c>
    </row>
    <row r="68" spans="1:13">
      <c r="A68" s="146"/>
      <c r="B68" s="146"/>
      <c r="C68" s="160"/>
      <c r="D68" s="146"/>
      <c r="E68" s="153" t="s">
        <v>17</v>
      </c>
      <c r="F68" s="154" t="s">
        <v>123</v>
      </c>
      <c r="G68" s="154" t="s">
        <v>74</v>
      </c>
      <c r="H68" s="154" t="s">
        <v>124</v>
      </c>
      <c r="I68" s="154" t="s">
        <v>125</v>
      </c>
      <c r="J68" s="154"/>
      <c r="K68" s="154"/>
      <c r="L68" s="154"/>
      <c r="M68" s="154" t="s">
        <v>77</v>
      </c>
    </row>
    <row r="69" spans="1:13">
      <c r="A69" s="146"/>
      <c r="B69" s="146"/>
      <c r="C69" s="160"/>
      <c r="D69" s="146"/>
      <c r="E69" s="153" t="s">
        <v>22</v>
      </c>
      <c r="F69" s="154" t="s">
        <v>23</v>
      </c>
      <c r="G69" s="154" t="s">
        <v>105</v>
      </c>
      <c r="H69" s="154" t="s">
        <v>25</v>
      </c>
      <c r="I69" s="154" t="s">
        <v>120</v>
      </c>
      <c r="J69" s="154" t="s">
        <v>36</v>
      </c>
      <c r="K69" s="154" t="s">
        <v>111</v>
      </c>
      <c r="L69" s="154"/>
      <c r="M69" s="154" t="s">
        <v>21</v>
      </c>
    </row>
    <row r="70" spans="1:13">
      <c r="A70" s="146"/>
      <c r="B70" s="150" t="s">
        <v>126</v>
      </c>
      <c r="C70" s="158" t="s">
        <v>102</v>
      </c>
      <c r="D70" s="152" t="s">
        <v>12</v>
      </c>
      <c r="E70" s="153" t="s">
        <v>13</v>
      </c>
      <c r="F70" s="154"/>
      <c r="G70" s="154"/>
      <c r="H70" s="154"/>
      <c r="I70" s="154"/>
      <c r="J70" s="154"/>
      <c r="K70" s="154"/>
      <c r="L70" s="154"/>
      <c r="M70" s="154"/>
    </row>
    <row r="71" spans="1:13">
      <c r="A71" s="146"/>
      <c r="B71" s="146"/>
      <c r="C71" s="160"/>
      <c r="D71" s="146"/>
      <c r="E71" s="153" t="s">
        <v>17</v>
      </c>
      <c r="F71" s="154" t="s">
        <v>63</v>
      </c>
      <c r="G71" s="154" t="s">
        <v>15</v>
      </c>
      <c r="H71" s="154" t="s">
        <v>39</v>
      </c>
      <c r="I71" s="154" t="s">
        <v>64</v>
      </c>
      <c r="J71" s="154"/>
      <c r="K71" s="154"/>
      <c r="L71" s="154"/>
      <c r="M71" s="154" t="s">
        <v>127</v>
      </c>
    </row>
    <row r="72" spans="1:13">
      <c r="A72" s="146"/>
      <c r="B72" s="146"/>
      <c r="C72" s="160"/>
      <c r="D72" s="146"/>
      <c r="E72" s="153" t="s">
        <v>22</v>
      </c>
      <c r="F72" s="154" t="s">
        <v>128</v>
      </c>
      <c r="G72" s="154" t="s">
        <v>51</v>
      </c>
      <c r="H72" s="154" t="s">
        <v>52</v>
      </c>
      <c r="I72" s="154" t="s">
        <v>129</v>
      </c>
      <c r="J72" s="154" t="s">
        <v>27</v>
      </c>
      <c r="K72" s="154" t="s">
        <v>130</v>
      </c>
      <c r="L72" s="154"/>
      <c r="M72" s="154" t="s">
        <v>131</v>
      </c>
    </row>
    <row r="73" spans="1:13">
      <c r="A73" s="146"/>
      <c r="B73" s="150" t="s">
        <v>132</v>
      </c>
      <c r="C73" s="155"/>
      <c r="D73" s="152" t="s">
        <v>12</v>
      </c>
      <c r="E73" s="153" t="s">
        <v>13</v>
      </c>
      <c r="F73" s="154" t="s">
        <v>14</v>
      </c>
      <c r="G73" s="154" t="s">
        <v>48</v>
      </c>
      <c r="H73" s="154"/>
      <c r="I73" s="154"/>
      <c r="J73" s="154"/>
      <c r="K73" s="154"/>
      <c r="L73" s="154"/>
      <c r="M73" s="154"/>
    </row>
    <row r="74" spans="1:13">
      <c r="A74" s="146"/>
      <c r="B74" s="146"/>
      <c r="C74" s="160"/>
      <c r="D74" s="146"/>
      <c r="E74" s="153" t="s">
        <v>17</v>
      </c>
      <c r="F74" s="154"/>
      <c r="G74" s="154"/>
      <c r="H74" s="154"/>
      <c r="I74" s="154"/>
      <c r="J74" s="154"/>
      <c r="K74" s="154"/>
      <c r="L74" s="154"/>
      <c r="M74" s="154"/>
    </row>
    <row r="75" spans="1:13">
      <c r="A75" s="146"/>
      <c r="B75" s="146"/>
      <c r="C75" s="160"/>
      <c r="D75" s="146"/>
      <c r="E75" s="153" t="s">
        <v>22</v>
      </c>
      <c r="F75" s="154" t="s">
        <v>23</v>
      </c>
      <c r="G75" s="154" t="s">
        <v>105</v>
      </c>
      <c r="H75" s="154" t="s">
        <v>43</v>
      </c>
      <c r="I75" s="154" t="s">
        <v>120</v>
      </c>
      <c r="J75" s="154" t="s">
        <v>67</v>
      </c>
      <c r="K75" s="154" t="s">
        <v>111</v>
      </c>
      <c r="L75" s="154"/>
      <c r="M75" s="154" t="s">
        <v>133</v>
      </c>
    </row>
    <row r="76" spans="1:13">
      <c r="A76" s="146"/>
      <c r="B76" s="150" t="s">
        <v>134</v>
      </c>
      <c r="C76" s="151"/>
      <c r="D76" s="152" t="s">
        <v>12</v>
      </c>
      <c r="E76" s="153" t="s">
        <v>13</v>
      </c>
      <c r="F76" s="154" t="s">
        <v>124</v>
      </c>
      <c r="G76" s="154" t="s">
        <v>135</v>
      </c>
      <c r="H76" s="154"/>
      <c r="I76" s="154"/>
      <c r="J76" s="154"/>
      <c r="K76" s="154"/>
      <c r="L76" s="154"/>
      <c r="M76" s="154" t="s">
        <v>89</v>
      </c>
    </row>
    <row r="77" spans="1:13">
      <c r="A77" s="146"/>
      <c r="B77" s="146"/>
      <c r="C77" s="160"/>
      <c r="D77" s="146"/>
      <c r="E77" s="153" t="s">
        <v>17</v>
      </c>
      <c r="F77" s="154" t="s">
        <v>63</v>
      </c>
      <c r="G77" s="154" t="s">
        <v>14</v>
      </c>
      <c r="H77" s="154" t="s">
        <v>39</v>
      </c>
      <c r="I77" s="154" t="s">
        <v>64</v>
      </c>
      <c r="J77" s="154"/>
      <c r="K77" s="154"/>
      <c r="L77" s="154"/>
      <c r="M77" s="154" t="s">
        <v>57</v>
      </c>
    </row>
    <row r="78" spans="1:13">
      <c r="A78" s="146"/>
      <c r="B78" s="146"/>
      <c r="C78" s="160"/>
      <c r="D78" s="146"/>
      <c r="E78" s="153" t="s">
        <v>22</v>
      </c>
      <c r="F78" s="154" t="s">
        <v>94</v>
      </c>
      <c r="G78" s="154" t="s">
        <v>136</v>
      </c>
      <c r="H78" s="154" t="s">
        <v>43</v>
      </c>
      <c r="I78" s="154" t="s">
        <v>66</v>
      </c>
      <c r="J78" s="154" t="s">
        <v>67</v>
      </c>
      <c r="K78" s="154" t="s">
        <v>111</v>
      </c>
      <c r="L78" s="154"/>
      <c r="M78" s="154"/>
    </row>
    <row r="79" spans="1:13">
      <c r="A79" s="146"/>
      <c r="B79" s="150" t="s">
        <v>137</v>
      </c>
      <c r="C79" s="155"/>
      <c r="D79" s="152" t="s">
        <v>12</v>
      </c>
      <c r="E79" s="153" t="s">
        <v>13</v>
      </c>
      <c r="F79" s="154" t="s">
        <v>39</v>
      </c>
      <c r="G79" s="154" t="s">
        <v>34</v>
      </c>
      <c r="H79" s="154"/>
      <c r="I79" s="154"/>
      <c r="J79" s="154"/>
      <c r="K79" s="154"/>
      <c r="L79" s="154"/>
      <c r="M79" s="154"/>
    </row>
    <row r="80" spans="1:13">
      <c r="A80" s="146"/>
      <c r="B80" s="146"/>
      <c r="C80" s="160"/>
      <c r="D80" s="146"/>
      <c r="E80" s="153" t="s">
        <v>17</v>
      </c>
      <c r="F80" s="154"/>
      <c r="G80" s="154"/>
      <c r="H80" s="154"/>
      <c r="I80" s="154"/>
      <c r="J80" s="154"/>
      <c r="K80" s="154"/>
      <c r="L80" s="154"/>
      <c r="M80" s="154"/>
    </row>
    <row r="81" spans="1:13">
      <c r="A81" s="146"/>
      <c r="B81" s="146"/>
      <c r="C81" s="160"/>
      <c r="D81" s="146"/>
      <c r="E81" s="153" t="s">
        <v>22</v>
      </c>
      <c r="F81" s="154" t="s">
        <v>23</v>
      </c>
      <c r="G81" s="154" t="s">
        <v>105</v>
      </c>
      <c r="H81" s="154" t="s">
        <v>25</v>
      </c>
      <c r="I81" s="154" t="s">
        <v>26</v>
      </c>
      <c r="J81" s="162" t="s">
        <v>36</v>
      </c>
      <c r="K81" s="154" t="s">
        <v>111</v>
      </c>
      <c r="L81" s="154"/>
      <c r="M81" s="154" t="s">
        <v>40</v>
      </c>
    </row>
    <row r="82" spans="1:13">
      <c r="A82" s="146"/>
      <c r="B82" s="150" t="s">
        <v>138</v>
      </c>
      <c r="C82" s="151"/>
      <c r="D82" s="152" t="s">
        <v>12</v>
      </c>
      <c r="E82" s="153" t="s">
        <v>13</v>
      </c>
      <c r="F82" s="154" t="s">
        <v>15</v>
      </c>
      <c r="G82" s="154" t="s">
        <v>34</v>
      </c>
      <c r="H82" s="154"/>
      <c r="I82" s="154"/>
      <c r="J82" s="154"/>
      <c r="K82" s="154"/>
      <c r="L82" s="154"/>
      <c r="M82" s="154" t="s">
        <v>40</v>
      </c>
    </row>
    <row r="83" spans="1:13">
      <c r="A83" s="146"/>
      <c r="B83" s="146"/>
      <c r="C83" s="160"/>
      <c r="D83" s="146"/>
      <c r="E83" s="153" t="s">
        <v>17</v>
      </c>
      <c r="F83" s="154"/>
      <c r="G83" s="154"/>
      <c r="H83" s="154"/>
      <c r="I83" s="154"/>
      <c r="J83" s="154"/>
      <c r="K83" s="154"/>
      <c r="L83" s="154"/>
      <c r="M83" s="154"/>
    </row>
    <row r="84" spans="1:13">
      <c r="A84" s="146"/>
      <c r="B84" s="146"/>
      <c r="C84" s="160"/>
      <c r="D84" s="146"/>
      <c r="E84" s="153" t="s">
        <v>22</v>
      </c>
      <c r="F84" s="154" t="s">
        <v>94</v>
      </c>
      <c r="G84" s="154" t="s">
        <v>65</v>
      </c>
      <c r="H84" s="154" t="s">
        <v>25</v>
      </c>
      <c r="I84" s="154" t="s">
        <v>66</v>
      </c>
      <c r="J84" s="154" t="s">
        <v>36</v>
      </c>
      <c r="K84" s="154" t="s">
        <v>111</v>
      </c>
      <c r="L84" s="154"/>
      <c r="M84" s="154" t="s">
        <v>21</v>
      </c>
    </row>
    <row r="85" spans="1:13">
      <c r="A85" s="146"/>
      <c r="B85" s="150" t="s">
        <v>139</v>
      </c>
      <c r="C85" s="158" t="s">
        <v>102</v>
      </c>
      <c r="D85" s="152" t="s">
        <v>12</v>
      </c>
      <c r="E85" s="153" t="s">
        <v>13</v>
      </c>
      <c r="F85" s="154" t="s">
        <v>15</v>
      </c>
      <c r="G85" s="154" t="s">
        <v>34</v>
      </c>
      <c r="H85" s="154"/>
      <c r="I85" s="154"/>
      <c r="J85" s="154"/>
      <c r="K85" s="154"/>
      <c r="L85" s="154"/>
      <c r="M85" s="154" t="s">
        <v>40</v>
      </c>
    </row>
    <row r="86" spans="1:13">
      <c r="A86" s="146"/>
      <c r="B86" s="146"/>
      <c r="C86" s="160"/>
      <c r="D86" s="146"/>
      <c r="E86" s="153" t="s">
        <v>17</v>
      </c>
      <c r="F86" s="154"/>
      <c r="G86" s="154"/>
      <c r="H86" s="154"/>
      <c r="I86" s="154"/>
      <c r="J86" s="154"/>
      <c r="K86" s="154"/>
      <c r="L86" s="154"/>
      <c r="M86" s="154"/>
    </row>
    <row r="87" spans="1:13">
      <c r="A87" s="146"/>
      <c r="B87" s="146"/>
      <c r="C87" s="160"/>
      <c r="D87" s="146"/>
      <c r="E87" s="153" t="s">
        <v>22</v>
      </c>
      <c r="F87" s="154" t="s">
        <v>41</v>
      </c>
      <c r="G87" s="154" t="s">
        <v>65</v>
      </c>
      <c r="H87" s="154" t="s">
        <v>43</v>
      </c>
      <c r="I87" s="154" t="s">
        <v>76</v>
      </c>
      <c r="J87" s="154" t="s">
        <v>67</v>
      </c>
      <c r="K87" s="154" t="s">
        <v>111</v>
      </c>
      <c r="L87" s="154"/>
      <c r="M87" s="154"/>
    </row>
    <row r="88" spans="1:13">
      <c r="A88" s="146"/>
      <c r="B88" s="150" t="s">
        <v>140</v>
      </c>
      <c r="C88" s="158" t="s">
        <v>102</v>
      </c>
      <c r="D88" s="152" t="s">
        <v>12</v>
      </c>
      <c r="E88" s="153" t="s">
        <v>13</v>
      </c>
      <c r="F88" s="154" t="s">
        <v>15</v>
      </c>
      <c r="G88" s="154" t="s">
        <v>34</v>
      </c>
      <c r="H88" s="154"/>
      <c r="I88" s="154"/>
      <c r="J88" s="154"/>
      <c r="K88" s="154"/>
      <c r="L88" s="154"/>
      <c r="M88" s="154" t="s">
        <v>57</v>
      </c>
    </row>
    <row r="89" spans="1:13">
      <c r="A89" s="146"/>
      <c r="B89" s="146"/>
      <c r="C89" s="160"/>
      <c r="D89" s="146"/>
      <c r="E89" s="153" t="s">
        <v>17</v>
      </c>
      <c r="F89" s="154" t="s">
        <v>33</v>
      </c>
      <c r="G89" s="154" t="s">
        <v>19</v>
      </c>
      <c r="H89" s="154" t="s">
        <v>58</v>
      </c>
      <c r="I89" s="154" t="s">
        <v>100</v>
      </c>
      <c r="J89" s="154"/>
      <c r="K89" s="154"/>
      <c r="L89" s="154"/>
      <c r="M89" s="154" t="s">
        <v>21</v>
      </c>
    </row>
    <row r="90" spans="1:13">
      <c r="A90" s="146"/>
      <c r="B90" s="146"/>
      <c r="C90" s="160"/>
      <c r="D90" s="146"/>
      <c r="E90" s="153" t="s">
        <v>22</v>
      </c>
      <c r="F90" s="154" t="s">
        <v>41</v>
      </c>
      <c r="G90" s="154" t="s">
        <v>42</v>
      </c>
      <c r="H90" s="154" t="s">
        <v>43</v>
      </c>
      <c r="I90" s="154" t="s">
        <v>26</v>
      </c>
      <c r="J90" s="162" t="s">
        <v>36</v>
      </c>
      <c r="K90" s="154" t="s">
        <v>111</v>
      </c>
      <c r="L90" s="154"/>
      <c r="M90" s="154" t="s">
        <v>32</v>
      </c>
    </row>
    <row r="91" spans="1:13">
      <c r="A91" s="166" t="s">
        <v>141</v>
      </c>
      <c r="B91" s="150" t="s">
        <v>142</v>
      </c>
      <c r="C91" s="158"/>
      <c r="D91" s="152" t="s">
        <v>12</v>
      </c>
      <c r="E91" s="153" t="s">
        <v>13</v>
      </c>
      <c r="F91" s="154" t="s">
        <v>58</v>
      </c>
      <c r="G91" s="154" t="s">
        <v>48</v>
      </c>
      <c r="H91" s="154"/>
      <c r="I91" s="154"/>
      <c r="J91" s="154"/>
      <c r="K91" s="154"/>
      <c r="L91" s="154"/>
      <c r="M91" s="154" t="s">
        <v>40</v>
      </c>
    </row>
    <row r="92" spans="1:13">
      <c r="A92" s="146"/>
      <c r="B92" s="146"/>
      <c r="C92" s="5"/>
      <c r="D92" s="146"/>
      <c r="E92" s="153" t="s">
        <v>17</v>
      </c>
      <c r="F92" s="154" t="s">
        <v>63</v>
      </c>
      <c r="G92" s="154" t="s">
        <v>15</v>
      </c>
      <c r="H92" s="154" t="s">
        <v>58</v>
      </c>
      <c r="I92" s="154" t="s">
        <v>64</v>
      </c>
      <c r="J92" s="154"/>
      <c r="K92" s="154"/>
      <c r="L92" s="154"/>
      <c r="M92" s="154" t="s">
        <v>21</v>
      </c>
    </row>
    <row r="93" spans="1:13">
      <c r="A93" s="146"/>
      <c r="B93" s="146"/>
      <c r="C93" s="5"/>
      <c r="D93" s="146"/>
      <c r="E93" s="153" t="s">
        <v>22</v>
      </c>
      <c r="F93" s="154" t="s">
        <v>41</v>
      </c>
      <c r="G93" s="154" t="s">
        <v>105</v>
      </c>
      <c r="H93" s="154" t="s">
        <v>43</v>
      </c>
      <c r="I93" s="154" t="s">
        <v>66</v>
      </c>
      <c r="J93" s="154" t="s">
        <v>67</v>
      </c>
      <c r="K93" s="154" t="s">
        <v>143</v>
      </c>
      <c r="L93" s="154"/>
      <c r="M93" s="165" t="s">
        <v>103</v>
      </c>
    </row>
    <row r="94" spans="1:13">
      <c r="A94" s="146"/>
      <c r="B94" s="150" t="s">
        <v>144</v>
      </c>
      <c r="C94" s="158"/>
      <c r="D94" s="152" t="s">
        <v>12</v>
      </c>
      <c r="E94" s="153" t="s">
        <v>13</v>
      </c>
      <c r="F94" s="154" t="s">
        <v>14</v>
      </c>
      <c r="G94" s="154" t="s">
        <v>15</v>
      </c>
      <c r="H94" s="154"/>
      <c r="I94" s="154"/>
      <c r="J94" s="154"/>
      <c r="K94" s="154"/>
      <c r="L94" s="154"/>
      <c r="M94" s="154" t="s">
        <v>47</v>
      </c>
    </row>
    <row r="95" spans="1:13">
      <c r="A95" s="146"/>
      <c r="B95" s="146"/>
      <c r="C95" s="5"/>
      <c r="D95" s="146"/>
      <c r="E95" s="153" t="s">
        <v>17</v>
      </c>
      <c r="F95" s="154" t="s">
        <v>18</v>
      </c>
      <c r="G95" s="154" t="s">
        <v>19</v>
      </c>
      <c r="H95" s="154" t="s">
        <v>15</v>
      </c>
      <c r="I95" s="154" t="s">
        <v>125</v>
      </c>
      <c r="J95" s="154"/>
      <c r="K95" s="154"/>
      <c r="L95" s="154"/>
      <c r="M95" s="154" t="s">
        <v>145</v>
      </c>
    </row>
    <row r="96" spans="1:13">
      <c r="A96" s="146"/>
      <c r="B96" s="146"/>
      <c r="C96" s="5"/>
      <c r="D96" s="146"/>
      <c r="E96" s="153" t="s">
        <v>22</v>
      </c>
      <c r="F96" s="154"/>
      <c r="G96" s="154"/>
      <c r="H96" s="154"/>
      <c r="I96" s="154"/>
      <c r="J96" s="154"/>
      <c r="K96" s="154"/>
      <c r="L96" s="154"/>
      <c r="M96" s="154"/>
    </row>
    <row r="97" spans="1:13">
      <c r="A97" s="146"/>
      <c r="B97" s="150" t="s">
        <v>146</v>
      </c>
      <c r="C97" s="155"/>
      <c r="D97" s="152" t="s">
        <v>12</v>
      </c>
      <c r="E97" s="153" t="s">
        <v>13</v>
      </c>
      <c r="F97" s="154" t="s">
        <v>39</v>
      </c>
      <c r="G97" s="154" t="s">
        <v>34</v>
      </c>
      <c r="H97" s="154"/>
      <c r="I97" s="154"/>
      <c r="J97" s="154"/>
      <c r="K97" s="154"/>
      <c r="L97" s="154"/>
      <c r="M97" s="154"/>
    </row>
    <row r="98" spans="1:13">
      <c r="A98" s="146"/>
      <c r="B98" s="146"/>
      <c r="C98" s="5"/>
      <c r="D98" s="146"/>
      <c r="E98" s="153" t="s">
        <v>17</v>
      </c>
      <c r="F98" s="154" t="s">
        <v>34</v>
      </c>
      <c r="G98" s="154" t="s">
        <v>33</v>
      </c>
      <c r="H98" s="154" t="s">
        <v>15</v>
      </c>
      <c r="I98" s="154" t="s">
        <v>20</v>
      </c>
      <c r="J98" s="154"/>
      <c r="K98" s="154"/>
      <c r="L98" s="154"/>
      <c r="M98" s="154"/>
    </row>
    <row r="99" spans="1:13">
      <c r="A99" s="146"/>
      <c r="B99" s="146"/>
      <c r="C99" s="5"/>
      <c r="D99" s="146"/>
      <c r="E99" s="153" t="s">
        <v>22</v>
      </c>
      <c r="F99" s="154" t="s">
        <v>82</v>
      </c>
      <c r="G99" s="154" t="s">
        <v>24</v>
      </c>
      <c r="H99" s="154" t="s">
        <v>52</v>
      </c>
      <c r="I99" s="154" t="s">
        <v>147</v>
      </c>
      <c r="J99" s="154" t="s">
        <v>27</v>
      </c>
      <c r="K99" s="154" t="s">
        <v>148</v>
      </c>
      <c r="L99" s="154"/>
      <c r="M99" s="154" t="s">
        <v>131</v>
      </c>
    </row>
    <row r="100" spans="1:13">
      <c r="A100" s="146"/>
      <c r="B100" s="150" t="s">
        <v>149</v>
      </c>
      <c r="C100" s="151"/>
      <c r="D100" s="152" t="s">
        <v>12</v>
      </c>
      <c r="E100" s="153" t="s">
        <v>13</v>
      </c>
      <c r="F100" s="154" t="s">
        <v>150</v>
      </c>
      <c r="G100" s="154" t="s">
        <v>124</v>
      </c>
      <c r="H100" s="154"/>
      <c r="I100" s="154"/>
      <c r="J100" s="154"/>
      <c r="K100" s="154"/>
      <c r="L100" s="154"/>
      <c r="M100" s="154" t="s">
        <v>151</v>
      </c>
    </row>
    <row r="101" spans="1:13">
      <c r="A101" s="146"/>
      <c r="B101" s="146"/>
      <c r="C101" s="5"/>
      <c r="D101" s="146"/>
      <c r="E101" s="153" t="s">
        <v>17</v>
      </c>
      <c r="F101" s="154" t="s">
        <v>33</v>
      </c>
      <c r="G101" s="154" t="s">
        <v>97</v>
      </c>
      <c r="H101" s="154" t="s">
        <v>34</v>
      </c>
      <c r="I101" s="154" t="s">
        <v>19</v>
      </c>
      <c r="J101" s="154"/>
      <c r="K101" s="154"/>
      <c r="L101" s="154"/>
      <c r="M101" s="154"/>
    </row>
    <row r="102" spans="1:13">
      <c r="A102" s="146"/>
      <c r="B102" s="146"/>
      <c r="C102" s="5"/>
      <c r="D102" s="146"/>
      <c r="E102" s="153" t="s">
        <v>22</v>
      </c>
      <c r="F102" s="154" t="s">
        <v>94</v>
      </c>
      <c r="G102" s="154" t="s">
        <v>105</v>
      </c>
      <c r="H102" s="154" t="s">
        <v>43</v>
      </c>
      <c r="I102" s="154" t="s">
        <v>120</v>
      </c>
      <c r="J102" s="154" t="s">
        <v>152</v>
      </c>
      <c r="K102" s="154" t="s">
        <v>143</v>
      </c>
      <c r="L102" s="154"/>
      <c r="M102" s="154"/>
    </row>
    <row r="103" spans="1:13">
      <c r="A103" s="167" t="s">
        <v>153</v>
      </c>
      <c r="B103" s="150" t="s">
        <v>154</v>
      </c>
      <c r="C103" s="155"/>
      <c r="D103" s="168" t="s">
        <v>12</v>
      </c>
      <c r="E103" s="153" t="s">
        <v>13</v>
      </c>
      <c r="F103" s="154" t="s">
        <v>14</v>
      </c>
      <c r="G103" s="154" t="s">
        <v>15</v>
      </c>
      <c r="H103" s="154"/>
      <c r="I103" s="154"/>
      <c r="J103" s="154"/>
      <c r="K103" s="154"/>
      <c r="L103" s="154"/>
      <c r="M103" s="154" t="s">
        <v>57</v>
      </c>
    </row>
    <row r="104" spans="1:13">
      <c r="A104" s="146"/>
      <c r="B104" s="146"/>
      <c r="C104" s="160"/>
      <c r="D104" s="146"/>
      <c r="E104" s="153" t="s">
        <v>17</v>
      </c>
      <c r="F104" s="154" t="s">
        <v>63</v>
      </c>
      <c r="G104" s="154" t="s">
        <v>15</v>
      </c>
      <c r="H104" s="154" t="s">
        <v>39</v>
      </c>
      <c r="I104" s="154" t="s">
        <v>64</v>
      </c>
      <c r="J104" s="154"/>
      <c r="K104" s="154"/>
      <c r="L104" s="154"/>
      <c r="M104" s="154" t="s">
        <v>110</v>
      </c>
    </row>
    <row r="105" spans="1:13">
      <c r="A105" s="146"/>
      <c r="B105" s="146"/>
      <c r="C105" s="160"/>
      <c r="D105" s="146"/>
      <c r="E105" s="153" t="s">
        <v>22</v>
      </c>
      <c r="F105" s="154"/>
      <c r="G105" s="154"/>
      <c r="H105" s="154"/>
      <c r="I105" s="154"/>
      <c r="J105" s="154"/>
      <c r="K105" s="154"/>
      <c r="L105" s="154"/>
      <c r="M105" s="154"/>
    </row>
    <row r="106" spans="1:13">
      <c r="A106" s="146"/>
      <c r="B106" s="146"/>
      <c r="C106" s="158"/>
      <c r="D106" s="169" t="s">
        <v>29</v>
      </c>
      <c r="E106" s="156" t="s">
        <v>13</v>
      </c>
      <c r="F106" s="157" t="s">
        <v>112</v>
      </c>
      <c r="G106" s="157" t="s">
        <v>155</v>
      </c>
      <c r="H106" s="157"/>
      <c r="I106" s="157"/>
      <c r="J106" s="157"/>
      <c r="K106" s="157"/>
      <c r="L106" s="157"/>
      <c r="M106" s="157" t="s">
        <v>89</v>
      </c>
    </row>
    <row r="107" spans="1:13">
      <c r="A107" s="146"/>
      <c r="B107" s="146"/>
      <c r="C107" s="160"/>
      <c r="D107" s="146"/>
      <c r="E107" s="156" t="s">
        <v>17</v>
      </c>
      <c r="F107" s="157" t="s">
        <v>63</v>
      </c>
      <c r="G107" s="157" t="s">
        <v>156</v>
      </c>
      <c r="H107" s="157" t="s">
        <v>79</v>
      </c>
      <c r="I107" s="157" t="s">
        <v>115</v>
      </c>
      <c r="J107" s="157"/>
      <c r="K107" s="157"/>
      <c r="L107" s="157"/>
      <c r="M107" s="157" t="s">
        <v>40</v>
      </c>
    </row>
    <row r="108" spans="1:13">
      <c r="A108" s="146"/>
      <c r="B108" s="146"/>
      <c r="C108" s="160"/>
      <c r="D108" s="146"/>
      <c r="E108" s="156" t="s">
        <v>22</v>
      </c>
      <c r="F108" s="164" t="s">
        <v>41</v>
      </c>
      <c r="G108" s="164" t="s">
        <v>42</v>
      </c>
      <c r="H108" s="164" t="s">
        <v>43</v>
      </c>
      <c r="I108" s="164" t="s">
        <v>95</v>
      </c>
      <c r="J108" s="170" t="s">
        <v>157</v>
      </c>
      <c r="K108" s="164" t="s">
        <v>158</v>
      </c>
      <c r="L108" s="157"/>
      <c r="M108" s="157"/>
    </row>
    <row r="109" spans="1:13">
      <c r="A109" s="146"/>
      <c r="B109" s="150" t="s">
        <v>159</v>
      </c>
      <c r="C109" s="155"/>
      <c r="D109" s="152" t="s">
        <v>12</v>
      </c>
      <c r="E109" s="153" t="s">
        <v>13</v>
      </c>
      <c r="F109" s="154" t="s">
        <v>14</v>
      </c>
      <c r="G109" s="154" t="s">
        <v>15</v>
      </c>
      <c r="H109" s="154"/>
      <c r="I109" s="154"/>
      <c r="J109" s="154"/>
      <c r="K109" s="154"/>
      <c r="L109" s="154"/>
      <c r="M109" s="165" t="s">
        <v>77</v>
      </c>
    </row>
    <row r="110" spans="1:13">
      <c r="A110" s="146"/>
      <c r="B110" s="146"/>
      <c r="C110" s="160"/>
      <c r="D110" s="146"/>
      <c r="E110" s="153" t="s">
        <v>17</v>
      </c>
      <c r="F110" s="154" t="s">
        <v>63</v>
      </c>
      <c r="G110" s="154" t="s">
        <v>90</v>
      </c>
      <c r="H110" s="154" t="s">
        <v>79</v>
      </c>
      <c r="I110" s="154" t="s">
        <v>20</v>
      </c>
      <c r="J110" s="154"/>
      <c r="K110" s="154"/>
      <c r="L110" s="154"/>
      <c r="M110" s="154" t="s">
        <v>32</v>
      </c>
    </row>
    <row r="111" spans="1:13">
      <c r="A111" s="146"/>
      <c r="B111" s="146"/>
      <c r="C111" s="160"/>
      <c r="D111" s="146"/>
      <c r="E111" s="153" t="s">
        <v>22</v>
      </c>
      <c r="F111" s="154" t="s">
        <v>23</v>
      </c>
      <c r="G111" s="154" t="s">
        <v>51</v>
      </c>
      <c r="H111" s="154" t="s">
        <v>52</v>
      </c>
      <c r="I111" s="154" t="s">
        <v>76</v>
      </c>
      <c r="J111" s="154" t="s">
        <v>36</v>
      </c>
      <c r="K111" s="154" t="s">
        <v>158</v>
      </c>
      <c r="L111" s="154"/>
      <c r="M111" s="154" t="s">
        <v>60</v>
      </c>
    </row>
    <row r="112" spans="1:13">
      <c r="A112" s="146"/>
      <c r="B112" s="150" t="s">
        <v>160</v>
      </c>
      <c r="C112" s="155"/>
      <c r="D112" s="152" t="s">
        <v>12</v>
      </c>
      <c r="E112" s="153" t="s">
        <v>13</v>
      </c>
      <c r="F112" s="154" t="s">
        <v>150</v>
      </c>
      <c r="G112" s="154" t="s">
        <v>161</v>
      </c>
      <c r="H112" s="154"/>
      <c r="I112" s="154"/>
      <c r="J112" s="154"/>
      <c r="K112" s="154"/>
      <c r="L112" s="154"/>
      <c r="M112" s="154"/>
    </row>
    <row r="113" spans="1:15">
      <c r="A113" s="146"/>
      <c r="B113" s="146"/>
      <c r="C113" s="160"/>
      <c r="D113" s="146"/>
      <c r="E113" s="153" t="s">
        <v>17</v>
      </c>
      <c r="F113" s="154"/>
      <c r="G113" s="154"/>
      <c r="H113" s="154"/>
      <c r="I113" s="154"/>
      <c r="J113" s="154"/>
      <c r="K113" s="154"/>
      <c r="L113" s="154"/>
      <c r="M113" s="154"/>
    </row>
    <row r="114" spans="1:15">
      <c r="A114" s="146"/>
      <c r="B114" s="146"/>
      <c r="C114" s="160"/>
      <c r="D114" s="146"/>
      <c r="E114" s="153" t="s">
        <v>22</v>
      </c>
      <c r="F114" s="154"/>
      <c r="G114" s="154"/>
      <c r="H114" s="154"/>
      <c r="I114" s="154"/>
      <c r="J114" s="154"/>
      <c r="K114" s="154"/>
      <c r="L114" s="154"/>
      <c r="M114" s="154"/>
    </row>
    <row r="115" spans="1:15">
      <c r="A115" s="146"/>
      <c r="B115" s="150" t="s">
        <v>162</v>
      </c>
      <c r="C115" s="155"/>
      <c r="D115" s="152" t="s">
        <v>12</v>
      </c>
      <c r="E115" s="153" t="s">
        <v>13</v>
      </c>
      <c r="F115" s="154" t="s">
        <v>14</v>
      </c>
      <c r="G115" s="154" t="s">
        <v>48</v>
      </c>
      <c r="H115" s="154"/>
      <c r="I115" s="154"/>
      <c r="J115" s="154"/>
      <c r="K115" s="154"/>
      <c r="L115" s="154"/>
      <c r="M115" s="154"/>
    </row>
    <row r="116" spans="1:15">
      <c r="A116" s="146"/>
      <c r="B116" s="146"/>
      <c r="C116" s="160"/>
      <c r="D116" s="146"/>
      <c r="E116" s="153" t="s">
        <v>17</v>
      </c>
      <c r="F116" s="154" t="s">
        <v>18</v>
      </c>
      <c r="G116" s="154" t="s">
        <v>58</v>
      </c>
      <c r="H116" s="154" t="s">
        <v>39</v>
      </c>
      <c r="I116" s="154" t="s">
        <v>64</v>
      </c>
      <c r="J116" s="154"/>
      <c r="K116" s="154"/>
      <c r="L116" s="154"/>
      <c r="M116" s="154"/>
    </row>
    <row r="117" spans="1:15">
      <c r="A117" s="146"/>
      <c r="B117" s="146"/>
      <c r="C117" s="160"/>
      <c r="D117" s="146"/>
      <c r="E117" s="153" t="s">
        <v>22</v>
      </c>
      <c r="F117" s="154" t="s">
        <v>23</v>
      </c>
      <c r="G117" s="154" t="s">
        <v>42</v>
      </c>
      <c r="H117" s="154" t="s">
        <v>25</v>
      </c>
      <c r="I117" s="154" t="s">
        <v>26</v>
      </c>
      <c r="J117" s="154" t="s">
        <v>36</v>
      </c>
      <c r="K117" s="154" t="s">
        <v>158</v>
      </c>
      <c r="L117" s="154"/>
      <c r="M117" s="165" t="s">
        <v>103</v>
      </c>
    </row>
    <row r="118" spans="1:15">
      <c r="A118" s="146"/>
      <c r="B118" s="150" t="s">
        <v>163</v>
      </c>
      <c r="C118" s="158"/>
      <c r="D118" s="152" t="s">
        <v>12</v>
      </c>
      <c r="E118" s="153" t="s">
        <v>13</v>
      </c>
      <c r="F118" s="154" t="s">
        <v>14</v>
      </c>
      <c r="G118" s="154" t="s">
        <v>48</v>
      </c>
      <c r="H118" s="154"/>
      <c r="I118" s="154"/>
      <c r="J118" s="154"/>
      <c r="K118" s="154"/>
      <c r="L118" s="154"/>
      <c r="M118" s="154" t="s">
        <v>40</v>
      </c>
    </row>
    <row r="119" spans="1:15">
      <c r="A119" s="146"/>
      <c r="B119" s="146"/>
      <c r="C119" s="160"/>
      <c r="D119" s="146"/>
      <c r="E119" s="153" t="s">
        <v>17</v>
      </c>
      <c r="F119" s="154" t="s">
        <v>63</v>
      </c>
      <c r="G119" s="154" t="s">
        <v>90</v>
      </c>
      <c r="H119" s="154" t="s">
        <v>79</v>
      </c>
      <c r="I119" s="154" t="s">
        <v>20</v>
      </c>
      <c r="J119" s="154"/>
      <c r="K119" s="154"/>
      <c r="L119" s="154"/>
      <c r="M119" s="165" t="s">
        <v>103</v>
      </c>
    </row>
    <row r="120" spans="1:15">
      <c r="A120" s="146"/>
      <c r="B120" s="146"/>
      <c r="C120" s="160"/>
      <c r="D120" s="146"/>
      <c r="E120" s="153" t="s">
        <v>22</v>
      </c>
      <c r="F120" s="154"/>
      <c r="G120" s="154"/>
      <c r="H120" s="154"/>
      <c r="I120" s="154"/>
      <c r="J120" s="154"/>
      <c r="K120" s="154"/>
      <c r="L120" s="154"/>
      <c r="M120" s="154"/>
    </row>
    <row r="121" spans="1:15">
      <c r="A121" s="146"/>
      <c r="B121" s="150" t="s">
        <v>164</v>
      </c>
      <c r="C121" s="155"/>
      <c r="D121" s="152" t="s">
        <v>12</v>
      </c>
      <c r="E121" s="153" t="s">
        <v>13</v>
      </c>
      <c r="F121" s="154"/>
      <c r="G121" s="154"/>
      <c r="H121" s="154"/>
      <c r="I121" s="154"/>
      <c r="J121" s="154"/>
      <c r="K121" s="154"/>
      <c r="L121" s="154"/>
      <c r="M121" s="154"/>
    </row>
    <row r="122" spans="1:15">
      <c r="A122" s="146"/>
      <c r="B122" s="146"/>
      <c r="C122" s="160"/>
      <c r="D122" s="146"/>
      <c r="E122" s="153" t="s">
        <v>17</v>
      </c>
      <c r="F122" s="154" t="s">
        <v>33</v>
      </c>
      <c r="G122" s="154" t="s">
        <v>34</v>
      </c>
      <c r="H122" s="154" t="s">
        <v>14</v>
      </c>
      <c r="I122" s="154" t="s">
        <v>109</v>
      </c>
      <c r="J122" s="154"/>
      <c r="K122" s="154"/>
      <c r="L122" s="154"/>
      <c r="M122" s="154"/>
    </row>
    <row r="123" spans="1:15">
      <c r="A123" s="146"/>
      <c r="B123" s="146"/>
      <c r="C123" s="160"/>
      <c r="D123" s="146"/>
      <c r="E123" s="153" t="s">
        <v>22</v>
      </c>
      <c r="F123" s="154" t="s">
        <v>82</v>
      </c>
      <c r="G123" s="154" t="s">
        <v>83</v>
      </c>
      <c r="H123" s="154" t="s">
        <v>84</v>
      </c>
      <c r="I123" s="154" t="s">
        <v>129</v>
      </c>
      <c r="J123" s="154" t="s">
        <v>27</v>
      </c>
      <c r="K123" s="154" t="s">
        <v>165</v>
      </c>
      <c r="L123" s="154"/>
      <c r="M123" s="154" t="s">
        <v>151</v>
      </c>
    </row>
    <row r="124" spans="1:15">
      <c r="A124" s="146"/>
      <c r="B124" s="150" t="s">
        <v>166</v>
      </c>
      <c r="C124" s="158"/>
      <c r="D124" s="152" t="s">
        <v>12</v>
      </c>
      <c r="E124" s="153" t="s">
        <v>13</v>
      </c>
      <c r="F124" s="154" t="s">
        <v>15</v>
      </c>
      <c r="G124" s="154" t="s">
        <v>34</v>
      </c>
      <c r="H124" s="154"/>
      <c r="I124" s="154"/>
      <c r="J124" s="154"/>
      <c r="K124" s="154"/>
      <c r="L124" s="154"/>
      <c r="M124" s="154" t="s">
        <v>77</v>
      </c>
    </row>
    <row r="125" spans="1:15">
      <c r="A125" s="146"/>
      <c r="B125" s="146"/>
      <c r="C125" s="160"/>
      <c r="D125" s="146"/>
      <c r="E125" s="153" t="s">
        <v>17</v>
      </c>
      <c r="F125" s="165" t="s">
        <v>18</v>
      </c>
      <c r="G125" s="154" t="s">
        <v>58</v>
      </c>
      <c r="H125" s="154" t="s">
        <v>115</v>
      </c>
      <c r="I125" s="154" t="s">
        <v>20</v>
      </c>
      <c r="J125" s="154"/>
      <c r="K125" s="154"/>
      <c r="L125" s="154"/>
      <c r="M125" s="154"/>
    </row>
    <row r="126" spans="1:15">
      <c r="A126" s="146"/>
      <c r="B126" s="146"/>
      <c r="C126" s="160"/>
      <c r="D126" s="146"/>
      <c r="E126" s="153" t="s">
        <v>22</v>
      </c>
      <c r="F126" s="154" t="s">
        <v>41</v>
      </c>
      <c r="G126" s="154" t="s">
        <v>105</v>
      </c>
      <c r="H126" s="154" t="s">
        <v>25</v>
      </c>
      <c r="I126" s="154" t="s">
        <v>26</v>
      </c>
      <c r="J126" s="154" t="s">
        <v>67</v>
      </c>
      <c r="K126" s="154" t="s">
        <v>158</v>
      </c>
      <c r="L126" s="154"/>
      <c r="M126" s="154" t="s">
        <v>47</v>
      </c>
    </row>
    <row r="127" spans="1:15">
      <c r="A127" s="146"/>
      <c r="B127" s="150" t="s">
        <v>167</v>
      </c>
      <c r="C127" s="151"/>
      <c r="D127" s="152" t="s">
        <v>12</v>
      </c>
      <c r="E127" s="153" t="s">
        <v>13</v>
      </c>
      <c r="F127" s="154" t="s">
        <v>39</v>
      </c>
      <c r="G127" s="154" t="s">
        <v>58</v>
      </c>
      <c r="H127" s="154"/>
      <c r="I127" s="154"/>
      <c r="J127" s="154"/>
      <c r="K127" s="154"/>
      <c r="L127" s="154"/>
      <c r="M127" s="154" t="s">
        <v>21</v>
      </c>
    </row>
    <row r="128" spans="1:15">
      <c r="A128" s="146"/>
      <c r="B128" s="146"/>
      <c r="C128" s="160"/>
      <c r="D128" s="146"/>
      <c r="E128" s="153" t="s">
        <v>17</v>
      </c>
      <c r="F128" s="154" t="s">
        <v>63</v>
      </c>
      <c r="G128" s="154" t="s">
        <v>14</v>
      </c>
      <c r="H128" s="154" t="s">
        <v>39</v>
      </c>
      <c r="I128" s="154" t="s">
        <v>64</v>
      </c>
      <c r="J128" s="154"/>
      <c r="K128" s="154"/>
      <c r="L128" s="154"/>
      <c r="M128" s="154" t="s">
        <v>168</v>
      </c>
      <c r="O128" t="s">
        <v>169</v>
      </c>
    </row>
    <row r="129" spans="1:13">
      <c r="A129" s="146"/>
      <c r="B129" s="146"/>
      <c r="C129" s="160"/>
      <c r="D129" s="146"/>
      <c r="E129" s="153" t="s">
        <v>22</v>
      </c>
      <c r="F129" s="154"/>
      <c r="G129" s="154"/>
      <c r="H129" s="154"/>
      <c r="I129" s="154"/>
      <c r="J129" s="154"/>
      <c r="K129" s="154"/>
      <c r="L129" s="154"/>
      <c r="M129" s="154"/>
    </row>
    <row r="130" spans="1:13">
      <c r="A130" s="146"/>
      <c r="B130" s="150" t="s">
        <v>170</v>
      </c>
      <c r="C130" s="158"/>
      <c r="D130" s="152" t="s">
        <v>12</v>
      </c>
      <c r="E130" s="153" t="s">
        <v>13</v>
      </c>
      <c r="F130" s="154" t="s">
        <v>39</v>
      </c>
      <c r="G130" s="154" t="s">
        <v>34</v>
      </c>
      <c r="H130" s="154"/>
      <c r="I130" s="154"/>
      <c r="J130" s="154"/>
      <c r="K130" s="154"/>
      <c r="L130" s="154"/>
      <c r="M130" s="154" t="s">
        <v>40</v>
      </c>
    </row>
    <row r="131" spans="1:13">
      <c r="A131" s="146"/>
      <c r="B131" s="146"/>
      <c r="C131" s="160"/>
      <c r="D131" s="146"/>
      <c r="E131" s="153" t="s">
        <v>17</v>
      </c>
      <c r="F131" s="154" t="s">
        <v>171</v>
      </c>
      <c r="G131" s="154" t="s">
        <v>161</v>
      </c>
      <c r="H131" s="154" t="s">
        <v>72</v>
      </c>
      <c r="I131" s="154" t="s">
        <v>172</v>
      </c>
      <c r="J131" s="154"/>
      <c r="K131" s="154"/>
      <c r="L131" s="154"/>
      <c r="M131" s="154" t="s">
        <v>75</v>
      </c>
    </row>
    <row r="132" spans="1:13">
      <c r="A132" s="146"/>
      <c r="B132" s="146"/>
      <c r="C132" s="160"/>
      <c r="D132" s="146"/>
      <c r="E132" s="153" t="s">
        <v>22</v>
      </c>
      <c r="F132" s="154" t="s">
        <v>128</v>
      </c>
      <c r="G132" s="154" t="s">
        <v>51</v>
      </c>
      <c r="H132" s="154" t="s">
        <v>84</v>
      </c>
      <c r="I132" s="154" t="s">
        <v>173</v>
      </c>
      <c r="J132" s="154" t="s">
        <v>85</v>
      </c>
      <c r="K132" s="154" t="s">
        <v>165</v>
      </c>
      <c r="L132" s="154"/>
      <c r="M132" s="154" t="s">
        <v>77</v>
      </c>
    </row>
    <row r="133" spans="1:13">
      <c r="A133" s="146"/>
      <c r="B133" s="150" t="s">
        <v>174</v>
      </c>
      <c r="C133" s="155"/>
      <c r="D133" s="152" t="s">
        <v>12</v>
      </c>
      <c r="E133" s="153" t="s">
        <v>13</v>
      </c>
      <c r="F133" s="154" t="s">
        <v>58</v>
      </c>
      <c r="G133" s="154" t="s">
        <v>48</v>
      </c>
      <c r="H133" s="154"/>
      <c r="I133" s="154"/>
      <c r="J133" s="154"/>
      <c r="K133" s="154"/>
      <c r="L133" s="154"/>
      <c r="M133" s="154"/>
    </row>
    <row r="134" spans="1:13">
      <c r="A134" s="146"/>
      <c r="B134" s="146"/>
      <c r="C134" s="160"/>
      <c r="D134" s="146"/>
      <c r="E134" s="153" t="s">
        <v>17</v>
      </c>
      <c r="F134" s="154" t="s">
        <v>33</v>
      </c>
      <c r="G134" s="154" t="s">
        <v>34</v>
      </c>
      <c r="H134" s="154" t="s">
        <v>58</v>
      </c>
      <c r="I134" s="154" t="s">
        <v>19</v>
      </c>
      <c r="J134" s="154"/>
      <c r="K134" s="154"/>
      <c r="L134" s="154"/>
      <c r="M134" s="154" t="s">
        <v>40</v>
      </c>
    </row>
    <row r="135" spans="1:13">
      <c r="A135" s="146"/>
      <c r="B135" s="146"/>
      <c r="C135" s="160"/>
      <c r="D135" s="146"/>
      <c r="E135" s="153" t="s">
        <v>22</v>
      </c>
      <c r="F135" s="154" t="s">
        <v>82</v>
      </c>
      <c r="G135" s="154" t="s">
        <v>24</v>
      </c>
      <c r="H135" s="154" t="s">
        <v>52</v>
      </c>
      <c r="I135" s="154" t="s">
        <v>53</v>
      </c>
      <c r="J135" s="154" t="s">
        <v>27</v>
      </c>
      <c r="K135" s="154" t="s">
        <v>165</v>
      </c>
      <c r="L135" s="154"/>
      <c r="M135" s="154" t="s">
        <v>175</v>
      </c>
    </row>
    <row r="136" spans="1:13">
      <c r="A136" s="171" t="s">
        <v>176</v>
      </c>
      <c r="B136" s="150" t="s">
        <v>177</v>
      </c>
      <c r="C136" s="151"/>
      <c r="D136" s="152" t="s">
        <v>12</v>
      </c>
      <c r="E136" s="153" t="s">
        <v>13</v>
      </c>
      <c r="F136" s="154" t="s">
        <v>178</v>
      </c>
      <c r="G136" s="154" t="s">
        <v>135</v>
      </c>
      <c r="H136" s="154"/>
      <c r="J136" s="154"/>
      <c r="K136" s="154"/>
      <c r="L136" s="154"/>
      <c r="M136" s="154"/>
    </row>
    <row r="137" spans="1:13">
      <c r="A137" s="146"/>
      <c r="B137" s="146"/>
      <c r="C137" s="160"/>
      <c r="D137" s="146"/>
      <c r="E137" s="153" t="s">
        <v>17</v>
      </c>
      <c r="F137" s="154" t="s">
        <v>63</v>
      </c>
      <c r="G137" s="154" t="s">
        <v>90</v>
      </c>
      <c r="H137" s="154" t="s">
        <v>72</v>
      </c>
      <c r="I137" s="154" t="s">
        <v>20</v>
      </c>
      <c r="J137" s="154"/>
      <c r="K137" s="154"/>
      <c r="L137" s="154"/>
      <c r="M137" s="154" t="s">
        <v>60</v>
      </c>
    </row>
    <row r="138" spans="1:13">
      <c r="A138" s="146"/>
      <c r="B138" s="146"/>
      <c r="C138" s="160"/>
      <c r="D138" s="146"/>
      <c r="E138" s="153" t="s">
        <v>22</v>
      </c>
      <c r="F138" s="154"/>
      <c r="G138" s="154"/>
      <c r="H138" s="154"/>
      <c r="I138" s="154"/>
      <c r="J138" s="154"/>
      <c r="K138" s="154"/>
      <c r="L138" s="154"/>
      <c r="M138" s="154"/>
    </row>
    <row r="139" spans="1:13">
      <c r="A139" s="146"/>
      <c r="B139" s="150" t="s">
        <v>179</v>
      </c>
      <c r="C139" s="155"/>
      <c r="D139" s="152" t="s">
        <v>12</v>
      </c>
      <c r="E139" s="153" t="s">
        <v>13</v>
      </c>
      <c r="F139" s="154" t="s">
        <v>14</v>
      </c>
      <c r="G139" s="154" t="s">
        <v>48</v>
      </c>
      <c r="H139" s="154"/>
      <c r="I139" s="154"/>
      <c r="J139" s="154"/>
      <c r="K139" s="154"/>
      <c r="L139" s="154"/>
      <c r="M139" s="154"/>
    </row>
    <row r="140" spans="1:13">
      <c r="A140" s="146"/>
      <c r="B140" s="146"/>
      <c r="C140" s="160"/>
      <c r="D140" s="146"/>
      <c r="E140" s="153" t="s">
        <v>17</v>
      </c>
      <c r="F140" s="154"/>
      <c r="G140" s="154"/>
      <c r="H140" s="154"/>
      <c r="I140" s="154"/>
      <c r="J140" s="154"/>
      <c r="K140" s="154"/>
      <c r="L140" s="154"/>
      <c r="M140" s="154"/>
    </row>
    <row r="141" spans="1:13">
      <c r="A141" s="146"/>
      <c r="B141" s="146"/>
      <c r="C141" s="160"/>
      <c r="D141" s="146"/>
      <c r="E141" s="153" t="s">
        <v>22</v>
      </c>
      <c r="F141" s="154" t="s">
        <v>23</v>
      </c>
      <c r="G141" s="154" t="s">
        <v>120</v>
      </c>
      <c r="H141" s="154" t="s">
        <v>65</v>
      </c>
      <c r="I141" s="154" t="s">
        <v>25</v>
      </c>
      <c r="J141" s="154" t="s">
        <v>36</v>
      </c>
      <c r="K141" s="154" t="s">
        <v>180</v>
      </c>
      <c r="L141" s="154"/>
      <c r="M141" s="154" t="s">
        <v>45</v>
      </c>
    </row>
    <row r="142" spans="1:13">
      <c r="A142" s="172" t="s">
        <v>181</v>
      </c>
      <c r="B142" s="150" t="s">
        <v>182</v>
      </c>
      <c r="C142" s="151"/>
      <c r="D142" s="152" t="s">
        <v>12</v>
      </c>
      <c r="E142" s="153" t="s">
        <v>13</v>
      </c>
      <c r="F142" s="154" t="s">
        <v>39</v>
      </c>
      <c r="G142" s="154" t="s">
        <v>34</v>
      </c>
      <c r="H142" s="154"/>
      <c r="I142" s="154"/>
      <c r="J142" s="154"/>
      <c r="K142" s="154"/>
      <c r="L142" s="154"/>
      <c r="M142" s="154" t="s">
        <v>60</v>
      </c>
    </row>
    <row r="143" spans="1:13">
      <c r="A143" s="146"/>
      <c r="B143" s="146"/>
      <c r="C143" s="160"/>
      <c r="D143" s="146"/>
      <c r="E143" s="153" t="s">
        <v>17</v>
      </c>
      <c r="F143" s="154" t="s">
        <v>33</v>
      </c>
      <c r="G143" s="154" t="s">
        <v>34</v>
      </c>
      <c r="H143" s="154" t="s">
        <v>58</v>
      </c>
      <c r="I143" s="154" t="s">
        <v>19</v>
      </c>
      <c r="J143" s="154"/>
      <c r="K143" s="154"/>
      <c r="L143" s="154"/>
      <c r="M143" s="165" t="s">
        <v>103</v>
      </c>
    </row>
    <row r="144" spans="1:13">
      <c r="A144" s="146"/>
      <c r="B144" s="146"/>
      <c r="C144" s="160"/>
      <c r="D144" s="146"/>
      <c r="E144" s="153" t="s">
        <v>22</v>
      </c>
      <c r="F144" s="154" t="s">
        <v>94</v>
      </c>
      <c r="G144" s="154" t="s">
        <v>105</v>
      </c>
      <c r="H144" s="154" t="s">
        <v>43</v>
      </c>
      <c r="I144" s="154" t="s">
        <v>76</v>
      </c>
      <c r="J144" s="154" t="s">
        <v>36</v>
      </c>
      <c r="K144" s="154" t="s">
        <v>183</v>
      </c>
      <c r="L144" s="154"/>
      <c r="M144" s="154" t="s">
        <v>45</v>
      </c>
    </row>
  </sheetData>
  <autoFilter xmlns:etc="http://www.wps.cn/officeDocument/2017/etCustomData" ref="A3:AA144" etc:filterBottomFollowUsedRange="0">
    <extLst/>
  </autoFilter>
  <mergeCells count="144">
    <mergeCell ref="F1:K1"/>
    <mergeCell ref="A4:A18"/>
    <mergeCell ref="A19:A51"/>
    <mergeCell ref="A52:A90"/>
    <mergeCell ref="A91:A102"/>
    <mergeCell ref="A103:A135"/>
    <mergeCell ref="A136:A141"/>
    <mergeCell ref="A142:A144"/>
    <mergeCell ref="B4:B9"/>
    <mergeCell ref="B10:B12"/>
    <mergeCell ref="B13:B15"/>
    <mergeCell ref="B16:B18"/>
    <mergeCell ref="B19:B24"/>
    <mergeCell ref="B25:B27"/>
    <mergeCell ref="B28:B33"/>
    <mergeCell ref="B34:B36"/>
    <mergeCell ref="B37:B39"/>
    <mergeCell ref="B40:B42"/>
    <mergeCell ref="B43:B45"/>
    <mergeCell ref="B46:B48"/>
    <mergeCell ref="B49:B51"/>
    <mergeCell ref="B52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8"/>
    <mergeCell ref="B109:B111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142:B144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3:C105"/>
    <mergeCell ref="C106:C108"/>
    <mergeCell ref="C109:C111"/>
    <mergeCell ref="C112:C114"/>
    <mergeCell ref="C115:C117"/>
    <mergeCell ref="C118:C120"/>
    <mergeCell ref="C121:C123"/>
    <mergeCell ref="C124:C126"/>
    <mergeCell ref="C127:C129"/>
    <mergeCell ref="C130:C132"/>
    <mergeCell ref="C133:C135"/>
    <mergeCell ref="C136:C138"/>
    <mergeCell ref="C139:C141"/>
    <mergeCell ref="C142:C144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D106:D108"/>
    <mergeCell ref="D109:D111"/>
    <mergeCell ref="D112:D114"/>
    <mergeCell ref="D115:D117"/>
    <mergeCell ref="D118:D120"/>
    <mergeCell ref="D121:D123"/>
    <mergeCell ref="D124:D126"/>
    <mergeCell ref="D127:D129"/>
    <mergeCell ref="D130:D132"/>
    <mergeCell ref="D133:D135"/>
    <mergeCell ref="D136:D138"/>
    <mergeCell ref="D139:D141"/>
    <mergeCell ref="D142:D144"/>
  </mergeCells>
  <hyperlinks>
    <hyperlink ref="M2" r:id="rId1" display="比如我，纸缺5，需求量10，想着有一把刀快羁绊3了，那... https://xhslink.cn/o/Vg6kGMX6Xy &#10;留住这段口令，去【小红书】瞅瞅笔记~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2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/>
  <cols>
    <col min="1" max="3" width="11.8888888888889" customWidth="1"/>
    <col min="4" max="4" width="4.7037037037037" style="5" customWidth="1"/>
    <col min="5" max="5" width="22.9444444444444" customWidth="1"/>
    <col min="6" max="6" width="5.26851851851852" customWidth="1"/>
    <col min="7" max="7" width="9.69444444444444" customWidth="1"/>
    <col min="11" max="11" width="18.3333333333333" customWidth="1"/>
  </cols>
  <sheetData>
    <row r="1" s="124" customFormat="1" ht="22.5" customHeight="1" spans="1:27">
      <c r="A1" s="126" t="s">
        <v>184</v>
      </c>
      <c r="B1" s="126" t="s">
        <v>185</v>
      </c>
      <c r="C1" s="126" t="s">
        <v>186</v>
      </c>
      <c r="D1" s="126" t="s">
        <v>187</v>
      </c>
      <c r="E1" s="126" t="s">
        <v>188</v>
      </c>
      <c r="F1" s="126"/>
      <c r="G1" s="126" t="s">
        <v>5</v>
      </c>
      <c r="H1" s="127" t="s">
        <v>189</v>
      </c>
    </row>
    <row r="2" s="125" customFormat="1" ht="15" spans="1:27">
      <c r="A2" s="128" t="s">
        <v>6</v>
      </c>
      <c r="B2" s="129"/>
      <c r="C2" s="129"/>
      <c r="D2" s="129"/>
      <c r="E2" s="129"/>
      <c r="F2" s="129"/>
      <c r="G2" s="129"/>
      <c r="H2" s="129"/>
      <c r="I2" s="128" t="s">
        <v>7</v>
      </c>
      <c r="J2" s="129"/>
      <c r="K2" s="129"/>
      <c r="L2" s="129"/>
      <c r="N2" s="130"/>
      <c r="O2" s="130"/>
      <c r="P2" s="130"/>
      <c r="Q2" s="130"/>
      <c r="R2" s="130"/>
      <c r="S2" s="130"/>
      <c r="T2" s="130"/>
      <c r="U2" s="129"/>
      <c r="V2" s="129"/>
      <c r="W2" s="129"/>
      <c r="X2" s="129"/>
      <c r="Y2" s="129"/>
      <c r="Z2" s="129"/>
      <c r="AA2" s="129"/>
    </row>
    <row r="3" s="125" customFormat="1" ht="15" spans="1:27">
      <c r="A3" s="128" t="s">
        <v>8</v>
      </c>
      <c r="B3" s="129"/>
      <c r="C3" s="129"/>
      <c r="D3" s="129"/>
      <c r="E3" s="129"/>
      <c r="F3" s="129"/>
      <c r="G3" s="129"/>
      <c r="H3" s="129"/>
      <c r="I3" s="130" t="s">
        <v>9</v>
      </c>
      <c r="J3" s="129"/>
      <c r="K3" s="129"/>
      <c r="L3" s="129"/>
      <c r="N3" s="130"/>
      <c r="O3" s="130"/>
      <c r="P3" s="130"/>
      <c r="Q3" s="130"/>
      <c r="R3" s="130"/>
      <c r="S3" s="130"/>
      <c r="T3" s="130"/>
      <c r="U3" s="129"/>
      <c r="V3" s="129"/>
      <c r="W3" s="129"/>
      <c r="X3" s="129"/>
      <c r="Y3" s="129"/>
      <c r="Z3" s="129"/>
      <c r="AA3" s="129"/>
    </row>
    <row r="4" spans="1:27">
      <c r="A4" s="19" t="s">
        <v>190</v>
      </c>
      <c r="B4" s="19" t="s">
        <v>191</v>
      </c>
      <c r="C4" s="102" t="s">
        <v>192</v>
      </c>
      <c r="D4" s="19">
        <v>4</v>
      </c>
      <c r="E4" s="131" t="s">
        <v>193</v>
      </c>
      <c r="F4" s="102"/>
      <c r="G4" s="102"/>
      <c r="H4" s="111"/>
    </row>
    <row r="5" spans="1:27">
      <c r="C5" s="102" t="s">
        <v>194</v>
      </c>
      <c r="D5" s="19">
        <v>4</v>
      </c>
      <c r="E5" s="131" t="s">
        <v>195</v>
      </c>
      <c r="F5" s="102"/>
      <c r="G5" s="102"/>
      <c r="H5" s="111"/>
    </row>
    <row r="6" spans="1:27">
      <c r="C6" s="102" t="s">
        <v>196</v>
      </c>
      <c r="D6" s="19">
        <v>1</v>
      </c>
      <c r="E6" s="131" t="s">
        <v>195</v>
      </c>
      <c r="F6" s="102"/>
      <c r="G6" s="102"/>
      <c r="H6" s="111"/>
    </row>
    <row r="7" spans="1:27">
      <c r="C7" s="102" t="s">
        <v>197</v>
      </c>
      <c r="D7" s="19">
        <v>150</v>
      </c>
      <c r="E7" s="131"/>
      <c r="F7" s="102"/>
      <c r="G7" s="102"/>
      <c r="H7" s="111"/>
    </row>
    <row r="8" spans="1:27">
      <c r="A8" s="19" t="s">
        <v>198</v>
      </c>
      <c r="B8" s="19" t="s">
        <v>199</v>
      </c>
      <c r="C8" s="102" t="s">
        <v>200</v>
      </c>
      <c r="D8" s="19">
        <v>1</v>
      </c>
      <c r="E8" s="131" t="s">
        <v>195</v>
      </c>
      <c r="F8" s="102"/>
      <c r="G8" s="102"/>
      <c r="H8" s="111"/>
    </row>
    <row r="9" spans="1:27">
      <c r="C9" s="102" t="s">
        <v>201</v>
      </c>
      <c r="D9" s="19">
        <v>1</v>
      </c>
      <c r="E9" s="131" t="s">
        <v>195</v>
      </c>
      <c r="F9" s="102"/>
      <c r="G9" s="102"/>
      <c r="H9" s="111"/>
    </row>
    <row r="10" spans="1:27">
      <c r="C10" s="102" t="s">
        <v>192</v>
      </c>
      <c r="D10" s="19">
        <v>1</v>
      </c>
      <c r="E10" s="131" t="s">
        <v>193</v>
      </c>
      <c r="F10" s="102"/>
      <c r="G10" s="102"/>
      <c r="H10" s="111"/>
    </row>
    <row r="11" spans="1:27">
      <c r="C11" s="102" t="s">
        <v>202</v>
      </c>
      <c r="D11" s="19">
        <v>1</v>
      </c>
      <c r="E11" s="131" t="s">
        <v>195</v>
      </c>
      <c r="F11" s="102"/>
      <c r="G11" s="102"/>
      <c r="H11" s="111"/>
    </row>
    <row r="12" spans="1:27">
      <c r="C12" s="102" t="s">
        <v>197</v>
      </c>
      <c r="D12" s="19">
        <v>150</v>
      </c>
      <c r="E12" s="131"/>
      <c r="F12" s="102"/>
      <c r="G12" s="102"/>
      <c r="H12" s="111"/>
    </row>
    <row r="13" spans="1:27">
      <c r="A13" s="19" t="s">
        <v>203</v>
      </c>
      <c r="B13" s="19" t="s">
        <v>204</v>
      </c>
      <c r="C13" s="102" t="s">
        <v>205</v>
      </c>
      <c r="D13" s="19">
        <v>4</v>
      </c>
      <c r="E13" s="131" t="s">
        <v>195</v>
      </c>
      <c r="F13" s="102"/>
      <c r="G13" s="102"/>
      <c r="H13" s="111"/>
    </row>
    <row r="14" spans="1:27">
      <c r="C14" s="102" t="s">
        <v>206</v>
      </c>
      <c r="D14" s="19">
        <v>1</v>
      </c>
      <c r="E14" s="131" t="s">
        <v>195</v>
      </c>
      <c r="F14" s="102"/>
      <c r="G14" s="102"/>
      <c r="H14" s="111"/>
    </row>
    <row r="15" ht="27.5" customHeight="1" spans="1:27">
      <c r="C15" s="102" t="s">
        <v>207</v>
      </c>
      <c r="D15" s="19">
        <v>1</v>
      </c>
      <c r="E15" s="131" t="s">
        <v>195</v>
      </c>
      <c r="F15" s="102"/>
      <c r="G15" s="102"/>
      <c r="H15" s="111"/>
      <c r="K15" s="132"/>
    </row>
    <row r="16" spans="1:27">
      <c r="C16" s="102" t="s">
        <v>208</v>
      </c>
      <c r="D16" s="19">
        <v>1</v>
      </c>
      <c r="E16" s="131" t="s">
        <v>193</v>
      </c>
      <c r="F16" s="102"/>
      <c r="G16" s="102"/>
      <c r="H16" s="111"/>
    </row>
    <row r="17" spans="1:8">
      <c r="C17" s="102" t="s">
        <v>197</v>
      </c>
      <c r="D17" s="19">
        <v>50</v>
      </c>
      <c r="E17" s="131"/>
      <c r="F17" s="102"/>
      <c r="G17" s="102"/>
      <c r="H17" s="111"/>
    </row>
    <row r="18" spans="1:8">
      <c r="A18" s="19" t="s">
        <v>209</v>
      </c>
      <c r="B18" s="19" t="s">
        <v>210</v>
      </c>
      <c r="C18" s="102" t="s">
        <v>211</v>
      </c>
      <c r="D18" s="19">
        <v>5</v>
      </c>
      <c r="E18" s="131" t="s">
        <v>193</v>
      </c>
      <c r="F18" s="102"/>
      <c r="G18" s="102"/>
      <c r="H18" s="111"/>
    </row>
    <row r="19" spans="1:8">
      <c r="C19" s="102" t="s">
        <v>194</v>
      </c>
      <c r="D19" s="19">
        <v>3</v>
      </c>
      <c r="E19" s="131" t="s">
        <v>195</v>
      </c>
      <c r="F19" s="102"/>
      <c r="G19" s="102"/>
      <c r="H19" s="111"/>
    </row>
    <row r="20" spans="1:8">
      <c r="C20" s="102" t="s">
        <v>212</v>
      </c>
      <c r="D20" s="19">
        <v>1</v>
      </c>
      <c r="E20" s="131" t="s">
        <v>195</v>
      </c>
      <c r="F20" s="102"/>
      <c r="G20" s="102"/>
      <c r="H20" s="111"/>
    </row>
    <row r="21" spans="1:8">
      <c r="C21" s="102" t="s">
        <v>200</v>
      </c>
      <c r="D21" s="19">
        <v>1</v>
      </c>
      <c r="E21" s="131" t="s">
        <v>195</v>
      </c>
      <c r="F21" s="102"/>
      <c r="G21" s="102"/>
      <c r="H21" s="111"/>
    </row>
    <row r="22" spans="1:8">
      <c r="C22" s="102" t="s">
        <v>197</v>
      </c>
      <c r="D22" s="19">
        <v>50</v>
      </c>
      <c r="E22" s="131"/>
      <c r="F22" s="102"/>
      <c r="G22" s="102"/>
      <c r="H22" s="111"/>
    </row>
    <row r="23" spans="1:8">
      <c r="A23" s="19" t="s">
        <v>213</v>
      </c>
      <c r="B23" s="19" t="s">
        <v>214</v>
      </c>
      <c r="C23" s="102" t="s">
        <v>215</v>
      </c>
      <c r="D23" s="19">
        <v>6</v>
      </c>
      <c r="E23" s="131" t="s">
        <v>193</v>
      </c>
      <c r="F23" s="102"/>
      <c r="G23" s="102"/>
      <c r="H23" s="111"/>
    </row>
    <row r="24" spans="1:8">
      <c r="C24" s="102" t="s">
        <v>216</v>
      </c>
      <c r="D24" s="19">
        <v>6</v>
      </c>
      <c r="E24" s="131" t="s">
        <v>193</v>
      </c>
      <c r="F24" s="102"/>
      <c r="G24" s="102"/>
      <c r="H24" s="111"/>
    </row>
    <row r="25" spans="1:8">
      <c r="C25" s="102" t="s">
        <v>217</v>
      </c>
      <c r="D25" s="19">
        <v>6</v>
      </c>
      <c r="E25" s="131" t="s">
        <v>195</v>
      </c>
      <c r="F25" s="102"/>
      <c r="G25" s="102"/>
      <c r="H25" s="111"/>
    </row>
    <row r="26" spans="1:8">
      <c r="C26" s="102" t="s">
        <v>197</v>
      </c>
      <c r="D26" s="19">
        <v>150</v>
      </c>
      <c r="E26" s="131"/>
      <c r="F26" s="102"/>
      <c r="G26" s="102"/>
      <c r="H26" s="111"/>
    </row>
    <row r="27" ht="14" customHeight="1" spans="1:8">
      <c r="A27" s="19" t="s">
        <v>218</v>
      </c>
      <c r="B27" s="19" t="s">
        <v>218</v>
      </c>
      <c r="C27" s="102" t="s">
        <v>215</v>
      </c>
      <c r="D27" s="19">
        <v>5</v>
      </c>
      <c r="E27" s="131" t="s">
        <v>193</v>
      </c>
      <c r="F27" s="102"/>
      <c r="G27" s="102"/>
      <c r="H27" s="111"/>
    </row>
    <row r="28" spans="1:8">
      <c r="C28" s="102" t="s">
        <v>219</v>
      </c>
      <c r="D28" s="19">
        <v>5</v>
      </c>
      <c r="E28" s="131" t="s">
        <v>195</v>
      </c>
      <c r="F28" s="102"/>
      <c r="G28" s="102"/>
      <c r="H28" s="111"/>
    </row>
    <row r="29" spans="1:8">
      <c r="C29" s="102" t="s">
        <v>216</v>
      </c>
      <c r="D29" s="19">
        <v>2</v>
      </c>
      <c r="E29" s="131" t="s">
        <v>193</v>
      </c>
      <c r="F29" s="102"/>
      <c r="G29" s="102"/>
      <c r="H29" s="111"/>
    </row>
    <row r="30" spans="1:8">
      <c r="C30" s="102" t="s">
        <v>220</v>
      </c>
      <c r="D30" s="19">
        <v>2</v>
      </c>
      <c r="E30" s="131" t="s">
        <v>195</v>
      </c>
      <c r="F30" s="102"/>
      <c r="G30" s="102"/>
      <c r="H30" s="111"/>
    </row>
    <row r="31" spans="1:8">
      <c r="C31" s="102" t="s">
        <v>197</v>
      </c>
      <c r="D31" s="19">
        <v>150</v>
      </c>
      <c r="E31" s="131"/>
      <c r="F31" s="102"/>
      <c r="G31" s="102"/>
      <c r="H31" s="111"/>
    </row>
    <row r="32" spans="1:8">
      <c r="A32" s="19" t="s">
        <v>221</v>
      </c>
      <c r="B32" s="19" t="s">
        <v>222</v>
      </c>
      <c r="C32" s="102" t="s">
        <v>223</v>
      </c>
      <c r="D32" s="19">
        <v>1</v>
      </c>
      <c r="E32" s="131" t="s">
        <v>195</v>
      </c>
      <c r="F32" s="102"/>
      <c r="G32" s="102"/>
      <c r="H32" s="111"/>
    </row>
    <row r="33" spans="1:8">
      <c r="C33" s="102" t="s">
        <v>224</v>
      </c>
      <c r="D33" s="19">
        <v>1</v>
      </c>
      <c r="E33" s="131" t="s">
        <v>195</v>
      </c>
      <c r="F33" s="102"/>
      <c r="G33" s="102"/>
      <c r="H33" s="111"/>
    </row>
    <row r="34" spans="1:8">
      <c r="C34" s="102" t="s">
        <v>208</v>
      </c>
      <c r="D34" s="19">
        <v>1</v>
      </c>
      <c r="E34" s="131" t="s">
        <v>193</v>
      </c>
      <c r="F34" s="102"/>
      <c r="G34" s="102"/>
      <c r="H34" s="111"/>
    </row>
    <row r="35" spans="1:8">
      <c r="C35" s="102" t="s">
        <v>219</v>
      </c>
      <c r="D35" s="19">
        <v>1</v>
      </c>
      <c r="E35" s="131" t="s">
        <v>195</v>
      </c>
      <c r="F35" s="102"/>
      <c r="G35" s="102"/>
      <c r="H35" s="111"/>
    </row>
    <row r="36" spans="1:8">
      <c r="C36" s="102" t="s">
        <v>197</v>
      </c>
      <c r="D36" s="19">
        <v>50</v>
      </c>
      <c r="E36" s="131"/>
      <c r="F36" s="102"/>
      <c r="G36" s="102"/>
      <c r="H36" s="111"/>
    </row>
    <row r="37" ht="18" customHeight="1" spans="1:8">
      <c r="A37" s="19" t="s">
        <v>225</v>
      </c>
      <c r="B37" s="19" t="s">
        <v>226</v>
      </c>
      <c r="C37" s="102" t="s">
        <v>211</v>
      </c>
      <c r="D37" s="19">
        <v>5</v>
      </c>
      <c r="E37" s="131" t="s">
        <v>193</v>
      </c>
      <c r="F37" s="102"/>
      <c r="G37" s="102"/>
      <c r="H37" s="111"/>
    </row>
    <row r="38" ht="18" customHeight="1" spans="1:8">
      <c r="C38" s="102" t="s">
        <v>200</v>
      </c>
      <c r="D38" s="19">
        <v>5</v>
      </c>
      <c r="E38" s="131" t="s">
        <v>195</v>
      </c>
      <c r="F38" s="102"/>
      <c r="G38" s="102"/>
      <c r="H38" s="111"/>
    </row>
    <row r="39" ht="18" customHeight="1" spans="1:8">
      <c r="C39" s="102" t="s">
        <v>194</v>
      </c>
      <c r="D39" s="19">
        <v>2</v>
      </c>
      <c r="E39" s="131" t="s">
        <v>195</v>
      </c>
      <c r="F39" s="102"/>
      <c r="G39" s="102"/>
      <c r="H39" s="111"/>
    </row>
    <row r="40" ht="18" customHeight="1" spans="1:8">
      <c r="C40" s="102" t="s">
        <v>197</v>
      </c>
      <c r="D40" s="19">
        <v>150</v>
      </c>
      <c r="E40" s="131"/>
      <c r="F40" s="102"/>
      <c r="G40" s="102"/>
      <c r="H40" s="111"/>
    </row>
    <row r="41" spans="1:8">
      <c r="A41" s="19" t="s">
        <v>227</v>
      </c>
      <c r="B41" s="19" t="s">
        <v>228</v>
      </c>
      <c r="C41" s="102" t="s">
        <v>215</v>
      </c>
      <c r="D41" s="19">
        <v>6</v>
      </c>
      <c r="E41" s="131" t="s">
        <v>193</v>
      </c>
      <c r="F41" s="102"/>
      <c r="G41" s="102"/>
      <c r="H41" s="111"/>
    </row>
    <row r="42" spans="1:8">
      <c r="C42" s="102" t="s">
        <v>216</v>
      </c>
      <c r="D42" s="19">
        <v>6</v>
      </c>
      <c r="E42" s="131" t="s">
        <v>193</v>
      </c>
      <c r="F42" s="102"/>
      <c r="G42" s="102"/>
      <c r="H42" s="111"/>
    </row>
    <row r="43" spans="1:8">
      <c r="C43" s="102" t="s">
        <v>229</v>
      </c>
      <c r="D43" s="19">
        <v>4</v>
      </c>
      <c r="E43" s="131" t="s">
        <v>195</v>
      </c>
      <c r="F43" s="102"/>
      <c r="G43" s="102"/>
      <c r="H43" s="111"/>
    </row>
    <row r="44" spans="1:8">
      <c r="C44" s="102" t="s">
        <v>197</v>
      </c>
      <c r="D44" s="19">
        <v>150</v>
      </c>
      <c r="E44" s="131"/>
      <c r="F44" s="102"/>
      <c r="G44" s="102"/>
      <c r="H44" s="111"/>
    </row>
    <row r="45" spans="1:8">
      <c r="A45" s="19" t="s">
        <v>230</v>
      </c>
      <c r="B45" s="19" t="s">
        <v>192</v>
      </c>
      <c r="C45" s="102" t="s">
        <v>231</v>
      </c>
      <c r="D45" s="19">
        <v>1</v>
      </c>
      <c r="E45" s="131" t="s">
        <v>195</v>
      </c>
      <c r="F45" s="102"/>
      <c r="G45" s="102"/>
      <c r="H45" s="111"/>
    </row>
    <row r="46" spans="1:8">
      <c r="C46" s="102" t="s">
        <v>196</v>
      </c>
      <c r="D46" s="19">
        <v>1</v>
      </c>
      <c r="E46" s="131" t="s">
        <v>195</v>
      </c>
      <c r="F46" s="102"/>
      <c r="G46" s="102"/>
      <c r="H46" s="111"/>
    </row>
    <row r="47" ht="16.5" customHeight="1" spans="1:8">
      <c r="C47" s="102" t="s">
        <v>197</v>
      </c>
      <c r="D47" s="19">
        <v>50</v>
      </c>
      <c r="E47" s="131"/>
      <c r="F47" s="102"/>
      <c r="G47" s="102"/>
      <c r="H47" s="111"/>
    </row>
    <row r="48" spans="1:8">
      <c r="A48" s="19" t="s">
        <v>232</v>
      </c>
      <c r="B48" s="19" t="s">
        <v>208</v>
      </c>
      <c r="C48" s="102" t="s">
        <v>233</v>
      </c>
      <c r="D48" s="19">
        <v>1</v>
      </c>
      <c r="E48" s="131" t="s">
        <v>195</v>
      </c>
      <c r="F48" s="102"/>
      <c r="G48" s="102"/>
      <c r="H48" s="111"/>
    </row>
    <row r="49" spans="1:8">
      <c r="C49" s="102" t="s">
        <v>219</v>
      </c>
      <c r="D49" s="19">
        <v>2</v>
      </c>
      <c r="E49" s="131" t="s">
        <v>195</v>
      </c>
      <c r="F49" s="102"/>
      <c r="G49" s="102"/>
      <c r="H49" s="111"/>
    </row>
    <row r="50" spans="1:8">
      <c r="C50" s="102" t="s">
        <v>197</v>
      </c>
      <c r="D50" s="19">
        <v>10</v>
      </c>
      <c r="E50" s="131"/>
      <c r="F50" s="102"/>
      <c r="G50" s="102"/>
      <c r="H50" s="111"/>
    </row>
    <row r="51" ht="16.5" customHeight="1" spans="1:8">
      <c r="A51" s="19" t="s">
        <v>234</v>
      </c>
      <c r="B51" s="19" t="s">
        <v>211</v>
      </c>
      <c r="C51" s="102" t="s">
        <v>200</v>
      </c>
      <c r="D51" s="19">
        <v>1</v>
      </c>
      <c r="E51" s="131" t="s">
        <v>195</v>
      </c>
      <c r="F51" s="102"/>
      <c r="G51" s="102"/>
      <c r="H51" s="111"/>
    </row>
    <row r="52" spans="1:8">
      <c r="C52" s="102" t="s">
        <v>194</v>
      </c>
      <c r="D52" s="19">
        <v>1</v>
      </c>
      <c r="E52" s="131" t="s">
        <v>195</v>
      </c>
      <c r="F52" s="102"/>
      <c r="G52" s="102"/>
      <c r="H52" s="111"/>
    </row>
    <row r="53" spans="1:8">
      <c r="C53" s="102" t="s">
        <v>197</v>
      </c>
      <c r="D53" s="19">
        <v>50</v>
      </c>
      <c r="E53" s="131"/>
      <c r="F53" s="102"/>
      <c r="G53" s="102"/>
      <c r="H53" s="111"/>
    </row>
    <row r="54" spans="1:8">
      <c r="A54" s="19" t="s">
        <v>235</v>
      </c>
      <c r="B54" s="19" t="s">
        <v>215</v>
      </c>
      <c r="C54" s="102" t="s">
        <v>212</v>
      </c>
      <c r="D54" s="19">
        <v>1</v>
      </c>
      <c r="E54" s="131" t="s">
        <v>195</v>
      </c>
      <c r="F54" s="102"/>
      <c r="G54" s="102"/>
      <c r="H54" s="111"/>
    </row>
    <row r="55" spans="1:8">
      <c r="C55" s="102" t="s">
        <v>200</v>
      </c>
      <c r="D55" s="19">
        <v>1</v>
      </c>
      <c r="E55" s="131" t="s">
        <v>195</v>
      </c>
      <c r="F55" s="102"/>
      <c r="G55" s="102"/>
      <c r="H55" s="111"/>
    </row>
    <row r="56" spans="1:8">
      <c r="C56" s="102" t="s">
        <v>233</v>
      </c>
      <c r="D56" s="19">
        <v>1</v>
      </c>
      <c r="E56" s="131" t="s">
        <v>195</v>
      </c>
      <c r="F56" s="102"/>
      <c r="G56" s="102"/>
      <c r="H56" s="111"/>
    </row>
    <row r="57" spans="1:8">
      <c r="C57" s="133" t="s">
        <v>197</v>
      </c>
      <c r="D57" s="134">
        <v>50</v>
      </c>
      <c r="E57" s="135"/>
      <c r="F57" s="133"/>
      <c r="G57" s="102"/>
      <c r="H57" s="111"/>
    </row>
    <row r="58" spans="1:8">
      <c r="A58" s="134" t="s">
        <v>236</v>
      </c>
      <c r="B58" s="134" t="s">
        <v>216</v>
      </c>
      <c r="C58" s="133" t="s">
        <v>212</v>
      </c>
      <c r="D58" s="134">
        <v>2</v>
      </c>
      <c r="E58" s="135" t="s">
        <v>195</v>
      </c>
      <c r="F58" s="133"/>
      <c r="G58" s="102"/>
      <c r="H58" s="111"/>
    </row>
    <row r="59" spans="1:8">
      <c r="C59" s="133" t="s">
        <v>237</v>
      </c>
      <c r="D59" s="134">
        <v>1</v>
      </c>
      <c r="E59" s="135" t="s">
        <v>195</v>
      </c>
      <c r="F59" s="133"/>
      <c r="G59" s="102"/>
      <c r="H59" s="111"/>
    </row>
    <row r="60" spans="1:8">
      <c r="C60" s="133" t="s">
        <v>197</v>
      </c>
      <c r="D60" s="134">
        <v>50</v>
      </c>
      <c r="E60" s="135"/>
      <c r="F60" s="133"/>
      <c r="G60" s="102"/>
      <c r="H60" s="111"/>
    </row>
    <row r="61" spans="1:8">
      <c r="A61" s="134" t="s">
        <v>238</v>
      </c>
      <c r="B61" s="134" t="s">
        <v>239</v>
      </c>
      <c r="C61" s="133" t="s">
        <v>215</v>
      </c>
      <c r="D61" s="134">
        <v>6</v>
      </c>
      <c r="E61" s="135" t="s">
        <v>193</v>
      </c>
      <c r="F61" s="133"/>
      <c r="G61" s="19" t="s">
        <v>37</v>
      </c>
      <c r="H61" s="111"/>
    </row>
    <row r="62" spans="1:8">
      <c r="C62" s="133" t="s">
        <v>216</v>
      </c>
      <c r="D62" s="134">
        <v>6</v>
      </c>
      <c r="E62" s="135" t="s">
        <v>193</v>
      </c>
      <c r="F62" s="133"/>
      <c r="H62" s="111"/>
    </row>
    <row r="63" spans="1:8">
      <c r="C63" s="133" t="s">
        <v>240</v>
      </c>
      <c r="D63" s="134">
        <v>2</v>
      </c>
      <c r="E63" s="135" t="s">
        <v>195</v>
      </c>
      <c r="F63" s="133"/>
      <c r="H63" s="111"/>
    </row>
    <row r="64" spans="1:8">
      <c r="C64" s="133" t="s">
        <v>197</v>
      </c>
      <c r="D64" s="134">
        <v>150</v>
      </c>
      <c r="E64" s="135"/>
      <c r="F64" s="133"/>
      <c r="H64" s="111"/>
    </row>
    <row r="65" ht="18" customHeight="1" spans="1:8">
      <c r="A65" s="134" t="s">
        <v>241</v>
      </c>
      <c r="B65" s="134" t="s">
        <v>242</v>
      </c>
      <c r="C65" s="133" t="s">
        <v>200</v>
      </c>
      <c r="D65" s="134">
        <v>2</v>
      </c>
      <c r="E65" s="135" t="s">
        <v>195</v>
      </c>
      <c r="F65" s="133"/>
      <c r="G65" s="19" t="s">
        <v>243</v>
      </c>
      <c r="H65" s="111"/>
    </row>
    <row r="66" spans="1:8">
      <c r="C66" s="133" t="s">
        <v>233</v>
      </c>
      <c r="D66" s="134">
        <v>2</v>
      </c>
      <c r="E66" s="135" t="s">
        <v>195</v>
      </c>
      <c r="F66" s="133"/>
      <c r="H66" s="111"/>
    </row>
    <row r="67" spans="1:8">
      <c r="C67" s="133" t="s">
        <v>197</v>
      </c>
      <c r="D67" s="134">
        <v>50</v>
      </c>
      <c r="E67" s="135"/>
      <c r="F67" s="133"/>
      <c r="H67" s="111"/>
    </row>
    <row r="68" spans="1:8">
      <c r="A68" s="134" t="s">
        <v>244</v>
      </c>
      <c r="B68" s="134" t="s">
        <v>245</v>
      </c>
      <c r="C68" s="136" t="s">
        <v>215</v>
      </c>
      <c r="D68" s="137">
        <v>2</v>
      </c>
      <c r="E68" s="135" t="s">
        <v>193</v>
      </c>
      <c r="F68" s="133"/>
      <c r="G68" s="19" t="s">
        <v>45</v>
      </c>
      <c r="H68" s="111"/>
    </row>
    <row r="69" spans="1:8">
      <c r="C69" s="136" t="s">
        <v>216</v>
      </c>
      <c r="D69" s="137">
        <v>1</v>
      </c>
      <c r="E69" s="135" t="s">
        <v>193</v>
      </c>
      <c r="F69" s="133"/>
      <c r="H69" s="111"/>
    </row>
    <row r="70" spans="1:8">
      <c r="C70" s="136" t="s">
        <v>217</v>
      </c>
      <c r="D70" s="137">
        <v>2</v>
      </c>
      <c r="E70" s="135" t="s">
        <v>195</v>
      </c>
      <c r="F70" s="133"/>
      <c r="H70" s="111"/>
    </row>
    <row r="71" spans="1:8">
      <c r="C71" s="138" t="s">
        <v>246</v>
      </c>
      <c r="D71" s="137">
        <v>2</v>
      </c>
      <c r="E71" s="135"/>
      <c r="F71" s="133"/>
      <c r="H71" s="111"/>
    </row>
    <row r="72" spans="1:8">
      <c r="C72" s="133" t="s">
        <v>197</v>
      </c>
      <c r="D72" s="134">
        <v>150</v>
      </c>
      <c r="E72" s="135"/>
      <c r="F72" s="133"/>
      <c r="H72" s="111"/>
    </row>
    <row r="73" spans="1:8">
      <c r="A73" s="134" t="s">
        <v>247</v>
      </c>
      <c r="B73" s="134" t="s">
        <v>248</v>
      </c>
      <c r="C73" s="133" t="s">
        <v>215</v>
      </c>
      <c r="D73" s="134">
        <v>6</v>
      </c>
      <c r="E73" s="135" t="s">
        <v>193</v>
      </c>
      <c r="F73" s="133"/>
      <c r="G73" s="19" t="s">
        <v>45</v>
      </c>
      <c r="H73" s="111"/>
    </row>
    <row r="74" spans="1:8">
      <c r="C74" s="133" t="s">
        <v>216</v>
      </c>
      <c r="D74" s="134">
        <v>6</v>
      </c>
      <c r="E74" s="135" t="s">
        <v>193</v>
      </c>
      <c r="F74" s="133"/>
      <c r="H74" s="111"/>
    </row>
    <row r="75" spans="1:8">
      <c r="C75" s="133" t="s">
        <v>201</v>
      </c>
      <c r="D75" s="134">
        <v>4</v>
      </c>
      <c r="E75" s="135" t="s">
        <v>195</v>
      </c>
      <c r="F75" s="133"/>
      <c r="H75" s="111"/>
    </row>
    <row r="76" spans="1:8">
      <c r="C76" s="133" t="s">
        <v>197</v>
      </c>
      <c r="D76" s="134">
        <v>150</v>
      </c>
      <c r="E76" s="135"/>
      <c r="F76" s="133"/>
      <c r="H76" s="111"/>
    </row>
    <row r="77" ht="18" customHeight="1" spans="1:8">
      <c r="A77" s="134" t="s">
        <v>249</v>
      </c>
      <c r="B77" s="134" t="s">
        <v>250</v>
      </c>
      <c r="C77" s="133" t="s">
        <v>251</v>
      </c>
      <c r="D77" s="134">
        <v>2</v>
      </c>
      <c r="E77" s="135" t="s">
        <v>195</v>
      </c>
      <c r="F77" s="133"/>
      <c r="G77" s="19" t="s">
        <v>45</v>
      </c>
      <c r="H77" s="111"/>
    </row>
    <row r="78" spans="1:8">
      <c r="C78" s="133" t="s">
        <v>252</v>
      </c>
      <c r="D78" s="134">
        <v>2</v>
      </c>
      <c r="E78" s="135" t="s">
        <v>195</v>
      </c>
      <c r="F78" s="133"/>
      <c r="H78" s="111"/>
    </row>
    <row r="79" spans="1:8">
      <c r="C79" s="133" t="s">
        <v>253</v>
      </c>
      <c r="D79" s="134">
        <v>1</v>
      </c>
      <c r="E79" s="135" t="s">
        <v>195</v>
      </c>
      <c r="F79" s="133"/>
      <c r="H79" s="111"/>
    </row>
    <row r="80" spans="1:8">
      <c r="C80" s="133" t="s">
        <v>254</v>
      </c>
      <c r="D80" s="134">
        <v>1</v>
      </c>
      <c r="E80" s="135" t="s">
        <v>195</v>
      </c>
      <c r="F80" s="133"/>
      <c r="H80" s="111"/>
    </row>
    <row r="81" spans="1:8">
      <c r="C81" s="133" t="s">
        <v>197</v>
      </c>
      <c r="D81" s="134">
        <v>50</v>
      </c>
      <c r="E81" s="135"/>
      <c r="F81" s="133"/>
      <c r="H81" s="111"/>
    </row>
    <row r="82" spans="1:8">
      <c r="A82" s="134" t="s">
        <v>255</v>
      </c>
      <c r="B82" s="134" t="s">
        <v>256</v>
      </c>
      <c r="C82" s="133" t="s">
        <v>215</v>
      </c>
      <c r="D82" s="134">
        <v>6</v>
      </c>
      <c r="E82" s="135" t="s">
        <v>193</v>
      </c>
      <c r="F82" s="133"/>
      <c r="G82" s="19" t="s">
        <v>45</v>
      </c>
      <c r="H82" s="111"/>
    </row>
    <row r="83" spans="1:8">
      <c r="C83" s="133" t="s">
        <v>216</v>
      </c>
      <c r="D83" s="134">
        <v>6</v>
      </c>
      <c r="E83" s="135" t="s">
        <v>193</v>
      </c>
      <c r="F83" s="133"/>
      <c r="H83" s="111"/>
    </row>
    <row r="84" spans="1:8">
      <c r="C84" s="133" t="s">
        <v>196</v>
      </c>
      <c r="D84" s="134">
        <v>20</v>
      </c>
      <c r="E84" s="135" t="s">
        <v>195</v>
      </c>
      <c r="F84" s="133"/>
      <c r="H84" s="111"/>
    </row>
    <row r="85" spans="1:8">
      <c r="C85" s="133" t="s">
        <v>197</v>
      </c>
      <c r="D85" s="134">
        <v>150</v>
      </c>
      <c r="E85" s="135"/>
      <c r="F85" s="133"/>
      <c r="H85" s="111"/>
    </row>
    <row r="86" spans="1:8">
      <c r="A86" s="134" t="s">
        <v>257</v>
      </c>
      <c r="B86" s="134" t="s">
        <v>258</v>
      </c>
      <c r="C86" s="133" t="s">
        <v>259</v>
      </c>
      <c r="D86" s="134">
        <v>1</v>
      </c>
      <c r="E86" s="135" t="s">
        <v>195</v>
      </c>
      <c r="F86" s="133"/>
      <c r="G86" s="19" t="s">
        <v>98</v>
      </c>
      <c r="H86" s="111"/>
    </row>
    <row r="87" spans="1:8">
      <c r="C87" s="133" t="s">
        <v>215</v>
      </c>
      <c r="D87" s="134">
        <v>2</v>
      </c>
      <c r="E87" s="135" t="s">
        <v>193</v>
      </c>
      <c r="F87" s="133"/>
      <c r="H87" s="111"/>
    </row>
    <row r="88" spans="1:8">
      <c r="C88" s="133" t="s">
        <v>201</v>
      </c>
      <c r="D88" s="134">
        <v>1</v>
      </c>
      <c r="E88" s="135" t="s">
        <v>195</v>
      </c>
      <c r="F88" s="133"/>
      <c r="H88" s="111"/>
    </row>
    <row r="89" spans="1:8">
      <c r="C89" s="133" t="s">
        <v>260</v>
      </c>
      <c r="D89" s="134">
        <v>1</v>
      </c>
      <c r="E89" s="135" t="s">
        <v>195</v>
      </c>
      <c r="F89" s="133"/>
      <c r="H89" s="111"/>
    </row>
    <row r="90" spans="1:8">
      <c r="C90" s="133" t="s">
        <v>197</v>
      </c>
      <c r="D90" s="134">
        <v>150</v>
      </c>
      <c r="E90" s="135"/>
      <c r="F90" s="133"/>
      <c r="H90" s="111"/>
    </row>
    <row r="91" spans="1:8">
      <c r="A91" s="134" t="s">
        <v>44</v>
      </c>
      <c r="B91" s="134" t="s">
        <v>261</v>
      </c>
      <c r="C91" s="133" t="s">
        <v>262</v>
      </c>
      <c r="D91" s="134">
        <v>2</v>
      </c>
      <c r="E91" s="135" t="s">
        <v>195</v>
      </c>
      <c r="F91" s="111"/>
      <c r="G91" s="134" t="str">
        <f>IF(COUNTIF(材料来源!B:B,E91)&gt;0,HYPERLINK("#'材料来源'!B"&amp;MATCH(E91,材料来源!B:B,0),"前往-&gt;"),IF(COUNTIF(材料合成!C:C,E91)&gt;0,HYPERLINK("#'材料合成'!C"&amp;MATCH(E91,材料合成!C:C,0),"合成-&gt;"),""))</f>
        <v/>
      </c>
      <c r="H91" s="111"/>
    </row>
    <row r="92" spans="1:8">
      <c r="C92" s="133" t="s">
        <v>223</v>
      </c>
      <c r="D92" s="134">
        <v>1</v>
      </c>
      <c r="E92" s="135" t="s">
        <v>195</v>
      </c>
      <c r="F92" s="111"/>
      <c r="H92" s="111"/>
    </row>
    <row r="93" spans="1:8">
      <c r="C93" s="133" t="s">
        <v>233</v>
      </c>
      <c r="D93" s="134">
        <v>1</v>
      </c>
      <c r="E93" s="135" t="s">
        <v>195</v>
      </c>
      <c r="F93" s="111"/>
      <c r="H93" s="111"/>
    </row>
    <row r="94" spans="1:8">
      <c r="C94" s="133" t="s">
        <v>263</v>
      </c>
      <c r="D94" s="134">
        <v>1</v>
      </c>
      <c r="E94" s="135" t="s">
        <v>195</v>
      </c>
      <c r="F94" s="111"/>
      <c r="H94" s="111"/>
    </row>
    <row r="95" spans="1:8">
      <c r="C95" s="133" t="s">
        <v>197</v>
      </c>
      <c r="D95" s="134">
        <v>150</v>
      </c>
      <c r="E95" s="135"/>
      <c r="F95" s="111"/>
      <c r="H95" s="111"/>
    </row>
    <row r="96" spans="1:8">
      <c r="A96" s="139" t="s">
        <v>264</v>
      </c>
      <c r="B96" s="139" t="s">
        <v>265</v>
      </c>
      <c r="C96" s="133" t="s">
        <v>215</v>
      </c>
      <c r="D96" s="139">
        <v>6</v>
      </c>
      <c r="E96" s="135" t="s">
        <v>266</v>
      </c>
      <c r="F96" s="111"/>
      <c r="G96" s="140" t="s">
        <v>21</v>
      </c>
      <c r="H96" s="111"/>
    </row>
    <row r="97" spans="1:8">
      <c r="C97" s="133" t="s">
        <v>216</v>
      </c>
      <c r="D97" s="139">
        <v>6</v>
      </c>
      <c r="E97" s="135" t="s">
        <v>266</v>
      </c>
      <c r="F97" s="111"/>
      <c r="H97" s="111"/>
    </row>
    <row r="98" spans="1:8">
      <c r="C98" s="111" t="s">
        <v>231</v>
      </c>
      <c r="D98" s="139">
        <v>12</v>
      </c>
      <c r="E98" s="131" t="s">
        <v>267</v>
      </c>
      <c r="F98" s="111"/>
      <c r="H98" s="111"/>
    </row>
    <row r="99" spans="1:8">
      <c r="C99" s="111" t="s">
        <v>197</v>
      </c>
      <c r="D99" s="139">
        <v>150</v>
      </c>
      <c r="E99" s="111"/>
      <c r="F99" s="111"/>
      <c r="H99" s="111"/>
    </row>
    <row r="100" ht="18" customHeight="1" spans="1:8">
      <c r="A100" s="139" t="s">
        <v>268</v>
      </c>
      <c r="B100" s="139" t="s">
        <v>262</v>
      </c>
      <c r="C100" s="111" t="s">
        <v>205</v>
      </c>
      <c r="D100" s="139">
        <v>1</v>
      </c>
      <c r="E100" s="131" t="s">
        <v>267</v>
      </c>
      <c r="F100" s="111"/>
      <c r="G100" s="141" t="s">
        <v>21</v>
      </c>
      <c r="H100" s="111"/>
    </row>
    <row r="101" ht="18" customHeight="1" spans="1:8">
      <c r="C101" s="111" t="s">
        <v>207</v>
      </c>
      <c r="D101" s="139">
        <v>1</v>
      </c>
      <c r="E101" s="131" t="s">
        <v>267</v>
      </c>
      <c r="F101" s="111"/>
      <c r="H101" s="111"/>
    </row>
    <row r="102" ht="18" customHeight="1" spans="1:8">
      <c r="C102" t="s">
        <v>206</v>
      </c>
      <c r="D102" s="139">
        <v>1</v>
      </c>
      <c r="E102" s="131" t="s">
        <v>267</v>
      </c>
      <c r="F102" s="111"/>
      <c r="H102" s="111"/>
    </row>
    <row r="103" ht="18" customHeight="1" spans="1:8">
      <c r="C103" t="s">
        <v>197</v>
      </c>
      <c r="D103" s="139">
        <v>50</v>
      </c>
      <c r="E103" s="135"/>
      <c r="F103" s="111"/>
      <c r="H103" s="111"/>
    </row>
    <row r="104" ht="18" customHeight="1" spans="1:8">
      <c r="A104" s="139" t="s">
        <v>269</v>
      </c>
      <c r="B104" s="139" t="s">
        <v>270</v>
      </c>
      <c r="C104" s="133" t="s">
        <v>215</v>
      </c>
      <c r="D104" s="139">
        <v>6</v>
      </c>
      <c r="E104" s="135" t="s">
        <v>266</v>
      </c>
      <c r="F104" s="111"/>
      <c r="G104" s="141" t="s">
        <v>103</v>
      </c>
      <c r="H104" s="111"/>
    </row>
    <row r="105" ht="18" customHeight="1" spans="1:8">
      <c r="C105" s="133" t="s">
        <v>216</v>
      </c>
      <c r="D105" s="139">
        <v>6</v>
      </c>
      <c r="E105" s="135" t="s">
        <v>266</v>
      </c>
      <c r="F105" s="111"/>
      <c r="H105" s="111"/>
    </row>
    <row r="106" ht="18" customHeight="1" spans="1:8">
      <c r="C106" s="111" t="s">
        <v>271</v>
      </c>
      <c r="D106" s="139">
        <v>4</v>
      </c>
      <c r="E106" s="135" t="s">
        <v>267</v>
      </c>
      <c r="F106" s="111"/>
      <c r="H106" s="111"/>
    </row>
    <row r="107" ht="18" customHeight="1" spans="1:8">
      <c r="C107" s="111" t="s">
        <v>197</v>
      </c>
      <c r="D107" s="139">
        <v>150</v>
      </c>
      <c r="E107" s="111"/>
      <c r="F107" s="111"/>
      <c r="H107" s="111"/>
    </row>
    <row r="108" ht="18" customHeight="1" spans="1:8">
      <c r="A108" s="139" t="s">
        <v>272</v>
      </c>
      <c r="B108" s="139" t="s">
        <v>273</v>
      </c>
      <c r="C108" s="111" t="s">
        <v>254</v>
      </c>
      <c r="D108" s="139">
        <v>3</v>
      </c>
      <c r="E108" s="135" t="s">
        <v>267</v>
      </c>
      <c r="F108" s="111"/>
      <c r="G108" s="141" t="s">
        <v>274</v>
      </c>
      <c r="H108" s="111"/>
    </row>
    <row r="109" ht="18" customHeight="1" spans="1:8">
      <c r="C109" s="111" t="s">
        <v>253</v>
      </c>
      <c r="D109" s="139">
        <v>1</v>
      </c>
      <c r="E109" s="135" t="s">
        <v>267</v>
      </c>
      <c r="F109" s="111"/>
      <c r="H109" s="111"/>
    </row>
    <row r="110" ht="18" customHeight="1" spans="1:8">
      <c r="C110" s="111" t="s">
        <v>207</v>
      </c>
      <c r="D110" s="139">
        <v>1</v>
      </c>
      <c r="E110" s="131" t="s">
        <v>267</v>
      </c>
      <c r="F110" s="111"/>
      <c r="H110" s="111"/>
    </row>
    <row r="111" ht="18" customHeight="1" spans="1:8">
      <c r="C111" s="111" t="s">
        <v>208</v>
      </c>
      <c r="D111" s="139">
        <v>1</v>
      </c>
      <c r="E111" s="135" t="s">
        <v>266</v>
      </c>
      <c r="F111" s="111"/>
      <c r="H111" s="111"/>
    </row>
    <row r="112" ht="18" customHeight="1" spans="1:8">
      <c r="C112" s="111" t="s">
        <v>197</v>
      </c>
      <c r="D112" s="139">
        <v>10</v>
      </c>
      <c r="E112" s="111"/>
      <c r="F112" s="111"/>
      <c r="H112" s="111"/>
    </row>
    <row r="113" spans="1:8">
      <c r="A113" s="111"/>
      <c r="B113" s="111"/>
      <c r="C113" s="111"/>
      <c r="D113" s="139"/>
      <c r="E113" s="111"/>
      <c r="F113" s="111"/>
      <c r="G113" s="142" t="str">
        <f>IF(COUNTIF(材料来源!B:B,E113)&gt;0,HYPERLINK("#'材料来源'!B"&amp;MATCH(E113,材料来源!B:B,0),"前往-&gt;"),IF(COUNTIF(材料合成!C:C,E113)&gt;0,HYPERLINK("#'材料合成'!C"&amp;MATCH(E113,材料合成!C:C,0),"合成-&gt;"),""))</f>
        <v/>
      </c>
      <c r="H113" s="111"/>
    </row>
    <row r="114" spans="1:8">
      <c r="A114" s="111"/>
      <c r="B114" s="111"/>
      <c r="C114" s="111"/>
      <c r="D114" s="139"/>
      <c r="E114" s="111"/>
      <c r="F114" s="111"/>
      <c r="G114" s="142" t="str">
        <f>IF(COUNTIF(材料来源!B:B,E114)&gt;0,HYPERLINK("#'材料来源'!B"&amp;MATCH(E114,材料来源!B:B,0),"前往-&gt;"),IF(COUNTIF(材料合成!C:C,E114)&gt;0,HYPERLINK("#'材料合成'!C"&amp;MATCH(E114,材料合成!C:C,0),"合成-&gt;"),""))</f>
        <v/>
      </c>
      <c r="H114" s="111"/>
    </row>
    <row r="115" spans="1:8">
      <c r="A115" s="111"/>
      <c r="B115" s="111"/>
      <c r="C115" s="111"/>
      <c r="D115" s="139"/>
      <c r="E115" s="111"/>
      <c r="F115" s="111"/>
      <c r="G115" s="142" t="str">
        <f>IF(COUNTIF(材料来源!B:B,E115)&gt;0,HYPERLINK("#'材料来源'!B"&amp;MATCH(E115,材料来源!B:B,0),"前往-&gt;"),IF(COUNTIF(材料合成!C:C,E115)&gt;0,HYPERLINK("#'材料合成'!C"&amp;MATCH(E115,材料合成!C:C,0),"合成-&gt;"),""))</f>
        <v/>
      </c>
      <c r="H115" s="111"/>
    </row>
    <row r="116" spans="1:8">
      <c r="A116" s="111"/>
      <c r="B116" s="111"/>
      <c r="C116" s="111"/>
      <c r="D116" s="139"/>
      <c r="E116" s="111"/>
      <c r="F116" s="111"/>
      <c r="G116" s="142" t="str">
        <f>IF(COUNTIF(材料来源!B:B,E116)&gt;0,HYPERLINK("#'材料来源'!B"&amp;MATCH(E116,材料来源!B:B,0),"前往-&gt;"),IF(COUNTIF(材料合成!C:C,E116)&gt;0,HYPERLINK("#'材料合成'!C"&amp;MATCH(E116,材料合成!C:C,0),"合成-&gt;"),""))</f>
        <v/>
      </c>
      <c r="H116" s="111"/>
    </row>
    <row r="117" spans="1:8">
      <c r="A117" s="111"/>
      <c r="B117" s="111"/>
      <c r="C117" s="111"/>
      <c r="D117" s="139"/>
      <c r="E117" s="111"/>
      <c r="F117" s="111"/>
      <c r="G117" s="142" t="str">
        <f>IF(COUNTIF(材料来源!B:B,E117)&gt;0,HYPERLINK("#'材料来源'!B"&amp;MATCH(E117,材料来源!B:B,0),"前往-&gt;"),IF(COUNTIF(材料合成!C:C,E117)&gt;0,HYPERLINK("#'材料合成'!C"&amp;MATCH(E117,材料合成!C:C,0),"合成-&gt;"),""))</f>
        <v/>
      </c>
      <c r="H117" s="111"/>
    </row>
    <row r="118" spans="1:8">
      <c r="A118" s="111"/>
      <c r="B118" s="111"/>
      <c r="C118" s="111"/>
      <c r="D118" s="139"/>
      <c r="E118" s="111"/>
      <c r="F118" s="111"/>
      <c r="G118" s="142" t="str">
        <f>IF(COUNTIF(材料来源!B:B,E118)&gt;0,HYPERLINK("#'材料来源'!B"&amp;MATCH(E118,材料来源!B:B,0),"前往-&gt;"),IF(COUNTIF(材料合成!C:C,E118)&gt;0,HYPERLINK("#'材料合成'!C"&amp;MATCH(E118,材料合成!C:C,0),"合成-&gt;"),""))</f>
        <v/>
      </c>
      <c r="H118" s="111"/>
    </row>
    <row r="119" spans="1:8">
      <c r="A119" s="111"/>
      <c r="B119" s="111"/>
      <c r="C119" s="111"/>
      <c r="D119" s="139"/>
      <c r="E119" s="111"/>
      <c r="F119" s="111"/>
      <c r="G119" s="142" t="str">
        <f>IF(COUNTIF(材料来源!B:B,E119)&gt;0,HYPERLINK("#'材料来源'!B"&amp;MATCH(E119,材料来源!B:B,0),"前往-&gt;"),IF(COUNTIF(材料合成!C:C,E119)&gt;0,HYPERLINK("#'材料合成'!C"&amp;MATCH(E119,材料合成!C:C,0),"合成-&gt;"),""))</f>
        <v/>
      </c>
      <c r="H119" s="111"/>
    </row>
    <row r="120" spans="1:8">
      <c r="A120" s="111"/>
      <c r="B120" s="111"/>
      <c r="C120" s="111"/>
      <c r="D120" s="139"/>
      <c r="E120" s="111"/>
      <c r="F120" s="111"/>
      <c r="G120" s="142" t="str">
        <f>IF(COUNTIF(材料来源!B:B,E120)&gt;0,HYPERLINK("#'材料来源'!B"&amp;MATCH(E120,材料来源!B:B,0),"前往-&gt;"),IF(COUNTIF(材料合成!C:C,E120)&gt;0,HYPERLINK("#'材料合成'!C"&amp;MATCH(E120,材料合成!C:C,0),"合成-&gt;"),""))</f>
        <v/>
      </c>
      <c r="H120" s="111"/>
    </row>
    <row r="121" spans="1:8">
      <c r="A121" s="111"/>
      <c r="B121" s="111"/>
      <c r="C121" s="111"/>
      <c r="D121" s="139"/>
      <c r="E121" s="111"/>
      <c r="F121" s="111"/>
      <c r="G121" s="142" t="str">
        <f>IF(COUNTIF(材料来源!B:B,E121)&gt;0,HYPERLINK("#'材料来源'!B"&amp;MATCH(E121,材料来源!B:B,0),"前往-&gt;"),IF(COUNTIF(材料合成!C:C,E121)&gt;0,HYPERLINK("#'材料合成'!C"&amp;MATCH(E121,材料合成!C:C,0),"合成-&gt;"),""))</f>
        <v/>
      </c>
      <c r="H121" s="111"/>
    </row>
    <row r="122" spans="1:8">
      <c r="A122" s="111"/>
      <c r="B122" s="111"/>
      <c r="C122" s="111"/>
      <c r="D122" s="139"/>
      <c r="E122" s="111"/>
      <c r="F122" s="111"/>
      <c r="G122" s="142" t="str">
        <f>IF(COUNTIF(材料来源!B:B,E122)&gt;0,HYPERLINK("#'材料来源'!B"&amp;MATCH(E122,材料来源!B:B,0),"前往-&gt;"),IF(COUNTIF(材料合成!C:C,E122)&gt;0,HYPERLINK("#'材料合成'!C"&amp;MATCH(E122,材料合成!C:C,0),"合成-&gt;"),""))</f>
        <v/>
      </c>
      <c r="H122" s="111"/>
    </row>
    <row r="123" spans="1:8">
      <c r="A123" s="111"/>
      <c r="B123" s="111"/>
      <c r="C123" s="111"/>
      <c r="D123" s="139"/>
      <c r="E123" s="111"/>
      <c r="F123" s="111"/>
      <c r="G123" s="142" t="str">
        <f>IF(COUNTIF(材料来源!B:B,E123)&gt;0,HYPERLINK("#'材料来源'!B"&amp;MATCH(E123,材料来源!B:B,0),"前往-&gt;"),IF(COUNTIF(材料合成!C:C,E123)&gt;0,HYPERLINK("#'材料合成'!C"&amp;MATCH(E123,材料合成!C:C,0),"合成-&gt;"),""))</f>
        <v/>
      </c>
      <c r="H123" s="111"/>
    </row>
    <row r="124" spans="1:8">
      <c r="A124" s="111"/>
      <c r="B124" s="111"/>
      <c r="C124" s="111"/>
      <c r="D124" s="139"/>
      <c r="E124" s="111"/>
      <c r="F124" s="111"/>
      <c r="G124" s="142" t="str">
        <f>IF(COUNTIF(材料来源!B:B,E124)&gt;0,HYPERLINK("#'材料来源'!B"&amp;MATCH(E124,材料来源!B:B,0),"前往-&gt;"),IF(COUNTIF(材料合成!C:C,E124)&gt;0,HYPERLINK("#'材料合成'!C"&amp;MATCH(E124,材料合成!C:C,0),"合成-&gt;"),""))</f>
        <v/>
      </c>
      <c r="H124" s="111"/>
    </row>
    <row r="125" spans="1:8">
      <c r="A125" s="111"/>
      <c r="B125" s="111"/>
      <c r="C125" s="111"/>
      <c r="D125" s="139"/>
      <c r="E125" s="111"/>
      <c r="F125" s="111"/>
      <c r="G125" s="142" t="str">
        <f>IF(COUNTIF(材料来源!B:B,E125)&gt;0,HYPERLINK("#'材料来源'!B"&amp;MATCH(E125,材料来源!B:B,0),"前往-&gt;"),IF(COUNTIF(材料合成!C:C,E125)&gt;0,HYPERLINK("#'材料合成'!C"&amp;MATCH(E125,材料合成!C:C,0),"合成-&gt;"),""))</f>
        <v/>
      </c>
      <c r="H125" s="111"/>
    </row>
    <row r="126" spans="1:8">
      <c r="A126" s="111"/>
      <c r="B126" s="111"/>
      <c r="C126" s="111"/>
      <c r="D126" s="139"/>
      <c r="E126" s="111"/>
      <c r="F126" s="111"/>
      <c r="G126" s="142" t="str">
        <f>IF(COUNTIF(材料来源!B:B,E126)&gt;0,HYPERLINK("#'材料来源'!B"&amp;MATCH(E126,材料来源!B:B,0),"前往-&gt;"),IF(COUNTIF(材料合成!C:C,E126)&gt;0,HYPERLINK("#'材料合成'!C"&amp;MATCH(E126,材料合成!C:C,0),"合成-&gt;"),""))</f>
        <v/>
      </c>
      <c r="H126" s="111"/>
    </row>
    <row r="127" spans="1:8">
      <c r="A127" s="111"/>
      <c r="B127" s="111"/>
      <c r="C127" s="111"/>
      <c r="D127" s="139"/>
      <c r="E127" s="111"/>
      <c r="F127" s="111"/>
      <c r="G127" s="142" t="str">
        <f>IF(COUNTIF(材料来源!B:B,E127)&gt;0,HYPERLINK("#'材料来源'!B"&amp;MATCH(E127,材料来源!B:B,0),"前往-&gt;"),IF(COUNTIF(材料合成!C:C,E127)&gt;0,HYPERLINK("#'材料合成'!C"&amp;MATCH(E127,材料合成!C:C,0),"合成-&gt;"),""))</f>
        <v/>
      </c>
      <c r="H127" s="111"/>
    </row>
    <row r="128" spans="1:8">
      <c r="A128" s="111"/>
      <c r="B128" s="111"/>
      <c r="C128" s="111"/>
      <c r="D128" s="139"/>
      <c r="E128" s="111"/>
      <c r="F128" s="111"/>
      <c r="G128" s="142" t="str">
        <f>IF(COUNTIF(材料来源!B:B,E128)&gt;0,HYPERLINK("#'材料来源'!B"&amp;MATCH(E128,材料来源!B:B,0),"前往-&gt;"),IF(COUNTIF(材料合成!C:C,E128)&gt;0,HYPERLINK("#'材料合成'!C"&amp;MATCH(E128,材料合成!C:C,0),"合成-&gt;"),""))</f>
        <v/>
      </c>
      <c r="H128" s="111"/>
    </row>
    <row r="129" spans="1:8">
      <c r="A129" s="111"/>
      <c r="B129" s="111"/>
      <c r="C129" s="111"/>
      <c r="D129" s="139"/>
      <c r="E129" s="111"/>
      <c r="F129" s="111"/>
      <c r="G129" s="142" t="str">
        <f>IF(COUNTIF(材料来源!B:B,E129)&gt;0,HYPERLINK("#'材料来源'!B"&amp;MATCH(E129,材料来源!B:B,0),"前往-&gt;"),IF(COUNTIF(材料合成!C:C,E129)&gt;0,HYPERLINK("#'材料合成'!C"&amp;MATCH(E129,材料合成!C:C,0),"合成-&gt;"),""))</f>
        <v/>
      </c>
      <c r="H129" s="111"/>
    </row>
    <row r="130" spans="1:8">
      <c r="A130" s="111"/>
      <c r="B130" s="111"/>
      <c r="C130" s="111"/>
      <c r="D130" s="139"/>
      <c r="E130" s="111"/>
      <c r="F130" s="111"/>
      <c r="G130" s="142" t="str">
        <f>IF(COUNTIF(材料来源!B:B,E130)&gt;0,HYPERLINK("#'材料来源'!B"&amp;MATCH(E130,材料来源!B:B,0),"前往-&gt;"),IF(COUNTIF(材料合成!C:C,E130)&gt;0,HYPERLINK("#'材料合成'!C"&amp;MATCH(E130,材料合成!C:C,0),"合成-&gt;"),""))</f>
        <v/>
      </c>
      <c r="H130" s="111"/>
    </row>
    <row r="131" spans="1:8">
      <c r="A131" s="111"/>
      <c r="B131" s="111"/>
      <c r="C131" s="111"/>
      <c r="D131" s="139"/>
      <c r="E131" s="111"/>
      <c r="F131" s="111"/>
      <c r="G131" s="142" t="str">
        <f>IF(COUNTIF(材料来源!B:B,E131)&gt;0,HYPERLINK("#'材料来源'!B"&amp;MATCH(E131,材料来源!B:B,0),"前往-&gt;"),IF(COUNTIF(材料合成!C:C,E131)&gt;0,HYPERLINK("#'材料合成'!C"&amp;MATCH(E131,材料合成!C:C,0),"合成-&gt;"),""))</f>
        <v/>
      </c>
      <c r="H131" s="111"/>
    </row>
    <row r="132" spans="1:8">
      <c r="A132" s="111"/>
      <c r="B132" s="111"/>
      <c r="C132" s="111"/>
      <c r="D132" s="139"/>
      <c r="E132" s="111"/>
      <c r="F132" s="111"/>
      <c r="G132" s="142" t="str">
        <f>IF(COUNTIF(材料来源!B:B,E132)&gt;0,HYPERLINK("#'材料来源'!B"&amp;MATCH(E132,材料来源!B:B,0),"前往-&gt;"),IF(COUNTIF(材料合成!C:C,E132)&gt;0,HYPERLINK("#'材料合成'!C"&amp;MATCH(E132,材料合成!C:C,0),"合成-&gt;"),""))</f>
        <v/>
      </c>
      <c r="H132" s="111"/>
    </row>
    <row r="133" spans="1:8">
      <c r="A133" s="111"/>
      <c r="B133" s="111"/>
      <c r="C133" s="111"/>
      <c r="D133" s="139"/>
      <c r="E133" s="111"/>
      <c r="F133" s="111"/>
      <c r="G133" s="142" t="str">
        <f>IF(COUNTIF(材料来源!B:B,E133)&gt;0,HYPERLINK("#'材料来源'!B"&amp;MATCH(E133,材料来源!B:B,0),"前往-&gt;"),IF(COUNTIF(材料合成!C:C,E133)&gt;0,HYPERLINK("#'材料合成'!C"&amp;MATCH(E133,材料合成!C:C,0),"合成-&gt;"),""))</f>
        <v/>
      </c>
      <c r="H133" s="111"/>
    </row>
    <row r="134" spans="1:8">
      <c r="A134" s="111"/>
      <c r="B134" s="111"/>
      <c r="C134" s="111"/>
      <c r="D134" s="139"/>
      <c r="E134" s="111"/>
      <c r="F134" s="111"/>
      <c r="G134" s="142" t="str">
        <f>IF(COUNTIF(材料来源!B:B,E134)&gt;0,HYPERLINK("#'材料来源'!B"&amp;MATCH(E134,材料来源!B:B,0),"前往-&gt;"),IF(COUNTIF(材料合成!C:C,E134)&gt;0,HYPERLINK("#'材料合成'!C"&amp;MATCH(E134,材料合成!C:C,0),"合成-&gt;"),""))</f>
        <v/>
      </c>
      <c r="H134" s="111"/>
    </row>
    <row r="135" spans="1:8">
      <c r="A135" s="111"/>
      <c r="B135" s="111"/>
      <c r="C135" s="111"/>
      <c r="D135" s="139"/>
      <c r="E135" s="111"/>
      <c r="F135" s="111"/>
      <c r="G135" s="142" t="str">
        <f>IF(COUNTIF(材料来源!B:B,E135)&gt;0,HYPERLINK("#'材料来源'!B"&amp;MATCH(E135,材料来源!B:B,0),"前往-&gt;"),IF(COUNTIF(材料合成!C:C,E135)&gt;0,HYPERLINK("#'材料合成'!C"&amp;MATCH(E135,材料合成!C:C,0),"合成-&gt;"),""))</f>
        <v/>
      </c>
      <c r="H135" s="111"/>
    </row>
    <row r="136" spans="1:8">
      <c r="A136" s="111"/>
      <c r="B136" s="111"/>
      <c r="C136" s="111"/>
      <c r="D136" s="139"/>
      <c r="E136" s="111"/>
      <c r="F136" s="111"/>
      <c r="G136" s="142" t="str">
        <f>IF(COUNTIF(材料来源!B:B,E136)&gt;0,HYPERLINK("#'材料来源'!B"&amp;MATCH(E136,材料来源!B:B,0),"前往-&gt;"),IF(COUNTIF(材料合成!C:C,E136)&gt;0,HYPERLINK("#'材料合成'!C"&amp;MATCH(E136,材料合成!C:C,0),"合成-&gt;"),""))</f>
        <v/>
      </c>
      <c r="H136" s="111"/>
    </row>
    <row r="137" spans="1:8">
      <c r="A137" s="111"/>
      <c r="B137" s="111"/>
      <c r="C137" s="111"/>
      <c r="D137" s="139"/>
      <c r="E137" s="111"/>
      <c r="F137" s="111"/>
      <c r="G137" s="142" t="str">
        <f>IF(COUNTIF(材料来源!B:B,E137)&gt;0,HYPERLINK("#'材料来源'!B"&amp;MATCH(E137,材料来源!B:B,0),"前往-&gt;"),IF(COUNTIF(材料合成!C:C,E137)&gt;0,HYPERLINK("#'材料合成'!C"&amp;MATCH(E137,材料合成!C:C,0),"合成-&gt;"),""))</f>
        <v/>
      </c>
      <c r="H137" s="111"/>
    </row>
    <row r="138" spans="1:8">
      <c r="A138" s="111"/>
      <c r="B138" s="111"/>
      <c r="C138" s="111"/>
      <c r="D138" s="139"/>
      <c r="E138" s="111"/>
      <c r="F138" s="111"/>
      <c r="G138" s="142" t="str">
        <f>IF(COUNTIF(材料来源!B:B,E138)&gt;0,HYPERLINK("#'材料来源'!B"&amp;MATCH(E138,材料来源!B:B,0),"前往-&gt;"),IF(COUNTIF(材料合成!C:C,E138)&gt;0,HYPERLINK("#'材料合成'!C"&amp;MATCH(E138,材料合成!C:C,0),"合成-&gt;"),""))</f>
        <v/>
      </c>
      <c r="H138" s="111"/>
    </row>
    <row r="139" spans="1:8">
      <c r="A139" s="111"/>
      <c r="B139" s="111"/>
      <c r="C139" s="111"/>
      <c r="D139" s="139"/>
      <c r="E139" s="111"/>
      <c r="F139" s="111"/>
      <c r="G139" s="142" t="str">
        <f>IF(COUNTIF(材料来源!B:B,E139)&gt;0,HYPERLINK("#'材料来源'!B"&amp;MATCH(E139,材料来源!B:B,0),"前往-&gt;"),IF(COUNTIF(材料合成!C:C,E139)&gt;0,HYPERLINK("#'材料合成'!C"&amp;MATCH(E139,材料合成!C:C,0),"合成-&gt;"),""))</f>
        <v/>
      </c>
      <c r="H139" s="111"/>
    </row>
    <row r="140" spans="1:8">
      <c r="A140" s="111"/>
      <c r="B140" s="111"/>
      <c r="C140" s="111"/>
      <c r="D140" s="139"/>
      <c r="E140" s="111"/>
      <c r="F140" s="111"/>
      <c r="G140" s="142" t="str">
        <f>IF(COUNTIF(材料来源!B:B,E140)&gt;0,HYPERLINK("#'材料来源'!B"&amp;MATCH(E140,材料来源!B:B,0),"前往-&gt;"),IF(COUNTIF(材料合成!C:C,E140)&gt;0,HYPERLINK("#'材料合成'!C"&amp;MATCH(E140,材料合成!C:C,0),"合成-&gt;"),""))</f>
        <v/>
      </c>
      <c r="H140" s="111"/>
    </row>
    <row r="141" spans="1:8">
      <c r="A141" s="111"/>
      <c r="B141" s="111"/>
      <c r="C141" s="111"/>
      <c r="D141" s="139"/>
      <c r="E141" s="111"/>
      <c r="F141" s="111"/>
      <c r="G141" s="142" t="str">
        <f>IF(COUNTIF(材料来源!B:B,E141)&gt;0,HYPERLINK("#'材料来源'!B"&amp;MATCH(E141,材料来源!B:B,0),"前往-&gt;"),IF(COUNTIF(材料合成!C:C,E141)&gt;0,HYPERLINK("#'材料合成'!C"&amp;MATCH(E141,材料合成!C:C,0),"合成-&gt;"),""))</f>
        <v/>
      </c>
      <c r="H141" s="111"/>
    </row>
    <row r="142" spans="1:8">
      <c r="A142" s="111"/>
      <c r="B142" s="111"/>
      <c r="C142" s="111"/>
      <c r="D142" s="139"/>
      <c r="E142" s="111"/>
      <c r="F142" s="111"/>
      <c r="G142" s="142" t="str">
        <f>IF(COUNTIF(材料来源!B:B,E142)&gt;0,HYPERLINK("#'材料来源'!B"&amp;MATCH(E142,材料来源!B:B,0),"前往-&gt;"),IF(COUNTIF(材料合成!C:C,E142)&gt;0,HYPERLINK("#'材料合成'!C"&amp;MATCH(E142,材料合成!C:C,0),"合成-&gt;"),""))</f>
        <v/>
      </c>
      <c r="H142" s="111"/>
    </row>
  </sheetData>
  <mergeCells count="64">
    <mergeCell ref="A4:A7"/>
    <mergeCell ref="A8:A12"/>
    <mergeCell ref="A13:A17"/>
    <mergeCell ref="A18:A22"/>
    <mergeCell ref="A23:A26"/>
    <mergeCell ref="A27:A31"/>
    <mergeCell ref="A32:A36"/>
    <mergeCell ref="A37:A40"/>
    <mergeCell ref="A41:A44"/>
    <mergeCell ref="A45:A47"/>
    <mergeCell ref="A48:A50"/>
    <mergeCell ref="A51:A53"/>
    <mergeCell ref="A54:A57"/>
    <mergeCell ref="A58:A60"/>
    <mergeCell ref="A61:A64"/>
    <mergeCell ref="A65:A67"/>
    <mergeCell ref="A68:A72"/>
    <mergeCell ref="A73:A76"/>
    <mergeCell ref="A77:A81"/>
    <mergeCell ref="A82:A85"/>
    <mergeCell ref="A86:A90"/>
    <mergeCell ref="A91:A95"/>
    <mergeCell ref="A96:A99"/>
    <mergeCell ref="A100:A103"/>
    <mergeCell ref="A104:A107"/>
    <mergeCell ref="A108:A112"/>
    <mergeCell ref="B4:B7"/>
    <mergeCell ref="B8:B12"/>
    <mergeCell ref="B13:B17"/>
    <mergeCell ref="B18:B22"/>
    <mergeCell ref="B23:B26"/>
    <mergeCell ref="B27:B31"/>
    <mergeCell ref="B32:B36"/>
    <mergeCell ref="B37:B40"/>
    <mergeCell ref="B41:B44"/>
    <mergeCell ref="B45:B47"/>
    <mergeCell ref="B48:B50"/>
    <mergeCell ref="B51:B53"/>
    <mergeCell ref="B54:B57"/>
    <mergeCell ref="B58:B60"/>
    <mergeCell ref="B61:B64"/>
    <mergeCell ref="B65:B67"/>
    <mergeCell ref="B68:B72"/>
    <mergeCell ref="B73:B76"/>
    <mergeCell ref="B77:B81"/>
    <mergeCell ref="B82:B85"/>
    <mergeCell ref="B86:B90"/>
    <mergeCell ref="B91:B95"/>
    <mergeCell ref="B96:B99"/>
    <mergeCell ref="B100:B103"/>
    <mergeCell ref="B104:B107"/>
    <mergeCell ref="B108:B112"/>
    <mergeCell ref="G61:G64"/>
    <mergeCell ref="G65:G67"/>
    <mergeCell ref="G68:G72"/>
    <mergeCell ref="G73:G76"/>
    <mergeCell ref="G77:G81"/>
    <mergeCell ref="G82:G85"/>
    <mergeCell ref="G86:G90"/>
    <mergeCell ref="G91:G95"/>
    <mergeCell ref="G96:G99"/>
    <mergeCell ref="G100:G103"/>
    <mergeCell ref="G104:G107"/>
    <mergeCell ref="G108:G112"/>
  </mergeCells>
  <hyperlinks>
    <hyperlink ref="I2" r:id="rId1" display="比如我，纸缺5，需求量10，想着有一把刀快羁绊3了，那... https://xhslink.cn/o/Vg6kGMX6Xy &#10;留住这段口令，去【小红书】瞅瞅笔记~"/>
    <hyperlink ref="E4" r:id="rId2" display="合成-&gt;"/>
    <hyperlink ref="E5" r:id="rId3" display="前往-&gt;"/>
    <hyperlink ref="E6" r:id="rId4" display="前往-&gt;"/>
    <hyperlink ref="E8" r:id="rId5" display="前往-&gt;"/>
    <hyperlink ref="E9" r:id="rId6" display="前往-&gt;"/>
    <hyperlink ref="E10" r:id="rId2" display="合成-&gt;"/>
    <hyperlink ref="E11" r:id="rId7" display="前往-&gt;"/>
    <hyperlink ref="E13" r:id="rId8" display="前往-&gt;"/>
    <hyperlink ref="E14" r:id="rId9" display="前往-&gt;"/>
    <hyperlink ref="E15" r:id="rId10" display="前往-&gt;"/>
    <hyperlink ref="E16" r:id="rId11" display="合成-&gt;"/>
    <hyperlink ref="E18" r:id="rId12" display="合成-&gt;"/>
    <hyperlink ref="E19" r:id="rId3" display="前往-&gt;"/>
    <hyperlink ref="E20" r:id="rId13" display="前往-&gt;"/>
    <hyperlink ref="E21" r:id="rId5" display="前往-&gt;"/>
    <hyperlink ref="E23" r:id="rId14" display="合成-&gt;"/>
    <hyperlink ref="E24" r:id="rId15" display="合成-&gt;"/>
    <hyperlink ref="E25" r:id="rId16" display="前往-&gt;"/>
    <hyperlink ref="E27" r:id="rId14" display="合成-&gt;"/>
    <hyperlink ref="E28" r:id="rId17" display="前往-&gt;"/>
    <hyperlink ref="E29" r:id="rId15" display="合成-&gt;"/>
    <hyperlink ref="E30" r:id="rId18" display="前往-&gt;"/>
    <hyperlink ref="E32" r:id="rId19" display="前往-&gt;"/>
    <hyperlink ref="E33" r:id="rId20" display="前往-&gt;"/>
    <hyperlink ref="E34" r:id="rId11" display="合成-&gt;"/>
    <hyperlink ref="E35" r:id="rId17" display="前往-&gt;"/>
    <hyperlink ref="E37" r:id="rId12" display="合成-&gt;"/>
    <hyperlink ref="E38" r:id="rId5" display="前往-&gt;"/>
    <hyperlink ref="E39" r:id="rId3" display="前往-&gt;"/>
    <hyperlink ref="E41" r:id="rId14" display="合成-&gt;"/>
    <hyperlink ref="E42" r:id="rId15" display="合成-&gt;"/>
    <hyperlink ref="E43" r:id="rId21" display="前往-&gt;"/>
    <hyperlink ref="E45" r:id="rId22" display="前往-&gt;"/>
    <hyperlink ref="E46" r:id="rId4" display="前往-&gt;"/>
    <hyperlink ref="E48" r:id="rId23" display="前往-&gt;"/>
    <hyperlink ref="E49" r:id="rId17" display="前往-&gt;"/>
    <hyperlink ref="E51" r:id="rId5" display="前往-&gt;"/>
    <hyperlink ref="E52" r:id="rId3" display="前往-&gt;"/>
    <hyperlink ref="E54" r:id="rId13" display="前往-&gt;"/>
    <hyperlink ref="E55" r:id="rId5" display="前往-&gt;"/>
    <hyperlink ref="E56" r:id="rId23" display="前往-&gt;"/>
    <hyperlink ref="E58" r:id="rId13" display="前往-&gt;"/>
    <hyperlink ref="E59" r:id="rId24" display="前往-&gt;"/>
    <hyperlink ref="E61" r:id="rId14" display="合成-&gt;"/>
    <hyperlink ref="E62" r:id="rId15" display="合成-&gt;"/>
    <hyperlink ref="E63" r:id="rId25" display="前往-&gt;"/>
    <hyperlink ref="E65" r:id="rId5" display="前往-&gt;"/>
    <hyperlink ref="E66" r:id="rId23" display="前往-&gt;"/>
    <hyperlink ref="E68" r:id="rId14" display="合成-&gt;"/>
    <hyperlink ref="E69" r:id="rId15" display="合成-&gt;"/>
    <hyperlink ref="E70" r:id="rId16" display="前往-&gt;"/>
    <hyperlink ref="E73" r:id="rId14" display="合成-&gt;"/>
    <hyperlink ref="E74" r:id="rId15" display="合成-&gt;"/>
    <hyperlink ref="E75" r:id="rId6" display="前往-&gt;"/>
    <hyperlink ref="E77" r:id="rId26" display="前往-&gt;"/>
    <hyperlink ref="E78" r:id="rId27" display="前往-&gt;"/>
    <hyperlink ref="E79" r:id="rId28" display="前往-&gt;"/>
    <hyperlink ref="E80" r:id="rId29" display="前往-&gt;"/>
    <hyperlink ref="E82" r:id="rId14" display="合成-&gt;"/>
    <hyperlink ref="E83" r:id="rId15" display="合成-&gt;"/>
    <hyperlink ref="E84" r:id="rId4" display="前往-&gt;"/>
    <hyperlink ref="E86" r:id="rId30" display="前往-&gt;"/>
    <hyperlink ref="E87" r:id="rId14" display="合成-&gt;"/>
    <hyperlink ref="E88" r:id="rId6" display="前往-&gt;"/>
    <hyperlink ref="E89" r:id="rId31" display="前往-&gt;"/>
    <hyperlink ref="E91" r:id="rId31" display="前往-&gt;"/>
    <hyperlink ref="E92" r:id="rId31" display="前往-&gt;"/>
    <hyperlink ref="E93" r:id="rId31" display="前往-&gt;"/>
    <hyperlink ref="E94" r:id="rId31" display="前往-&gt;"/>
    <hyperlink ref="E96" location="'材料合成'!B54:B57" display="合成-&gt;"/>
    <hyperlink ref="E97" location="'材料合成'!B58:B60" display="合成-&gt;"/>
    <hyperlink ref="E98" location="'材料来源'!B3:B7" display="前往-&gt;"/>
    <hyperlink ref="E100" location="'材料来源'!B28:B33" display="前往-&gt;"/>
    <hyperlink ref="E101" location="'材料来源'!B40:B47" display="前往-&gt;"/>
    <hyperlink ref="E102" location="'材料来源'!B34:B39" display="前往-&gt;"/>
    <hyperlink ref="E104" location="'材料合成'!B54:B57" display="合成-&gt;"/>
    <hyperlink ref="E105" location="'材料合成'!B58:B60" display="合成-&gt;"/>
    <hyperlink ref="E106" location="'材料来源'!B91:B95" display="前往-&gt;"/>
    <hyperlink ref="E108" location="'材料来源'!B113:B116" display="前往-&gt;"/>
    <hyperlink ref="E109" location="'材料来源'!B136:B138" display="前往-&gt;"/>
    <hyperlink ref="E110" location="'材料来源'!B40:B47" display="前往-&gt;"/>
    <hyperlink ref="E111" location="'材料合成'!B48:B50" display="合成-&gt;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1" max="1" width="6.49074074074074" style="34" customWidth="1"/>
    <col min="2" max="2" width="8.2962962962963" style="35" customWidth="1"/>
    <col min="3" max="3" width="8.66666666666667" style="36"/>
    <col min="4" max="4" width="6.62037037037037" style="12" customWidth="1"/>
    <col min="5" max="5" width="8.58333333333333" style="27" customWidth="1"/>
    <col min="6" max="6" width="4.65740740740741" style="12" customWidth="1"/>
    <col min="7" max="7" width="27.2592592592593" style="12" customWidth="1"/>
    <col min="8" max="8" width="37.0740740740741" style="37" customWidth="1"/>
    <col min="9" max="9" width="22.8148148148148" style="37" customWidth="1"/>
    <col min="10" max="25" width="8.61111111111111" style="12"/>
  </cols>
  <sheetData>
    <row r="1" s="32" customFormat="1" ht="27.75" customHeight="1" spans="1:25">
      <c r="A1" s="38" t="s">
        <v>184</v>
      </c>
      <c r="B1" s="39" t="s">
        <v>4</v>
      </c>
      <c r="C1" s="40" t="s">
        <v>275</v>
      </c>
      <c r="D1" s="41"/>
      <c r="E1" s="42" t="s">
        <v>275</v>
      </c>
      <c r="F1" s="43" t="s">
        <v>276</v>
      </c>
      <c r="G1" s="44" t="s">
        <v>277</v>
      </c>
      <c r="H1" s="45" t="s">
        <v>278</v>
      </c>
      <c r="I1" s="46"/>
      <c r="J1" s="47"/>
    </row>
    <row r="2" s="33" customFormat="1" ht="13.5" customHeight="1" spans="1:25">
      <c r="A2" s="48" t="s">
        <v>231</v>
      </c>
      <c r="B2" s="49" t="s">
        <v>231</v>
      </c>
      <c r="C2" s="50" t="s">
        <v>279</v>
      </c>
      <c r="D2" s="51"/>
      <c r="E2" s="52" t="s">
        <v>280</v>
      </c>
      <c r="F2" s="53"/>
      <c r="G2" s="54"/>
      <c r="H2" s="55"/>
      <c r="I2" s="55" t="s">
        <v>281</v>
      </c>
      <c r="J2" s="56" t="s">
        <v>5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ht="16.5" customHeight="1" spans="1:25">
      <c r="A3" s="57"/>
      <c r="B3" s="58"/>
      <c r="C3" s="59" t="s">
        <v>282</v>
      </c>
      <c r="E3" s="60" t="s">
        <v>283</v>
      </c>
      <c r="F3" s="61" t="s">
        <v>284</v>
      </c>
      <c r="G3" s="62" t="s">
        <v>285</v>
      </c>
      <c r="H3" s="63" t="s">
        <v>286</v>
      </c>
      <c r="I3" s="37" t="s">
        <v>287</v>
      </c>
      <c r="J3" s="64"/>
    </row>
    <row r="4" spans="1:25">
      <c r="A4" s="57"/>
      <c r="B4" s="58"/>
      <c r="C4" s="59" t="s">
        <v>288</v>
      </c>
      <c r="E4" s="65"/>
      <c r="F4" s="66"/>
      <c r="G4" s="66"/>
      <c r="H4" s="67"/>
      <c r="I4" s="37" t="s">
        <v>289</v>
      </c>
      <c r="J4" s="64"/>
    </row>
    <row r="5" spans="1:25">
      <c r="A5" s="57"/>
      <c r="B5" s="58"/>
      <c r="C5" s="68" t="s">
        <v>290</v>
      </c>
      <c r="E5" s="69" t="s">
        <v>291</v>
      </c>
      <c r="F5" s="70">
        <v>3</v>
      </c>
      <c r="G5" s="71" t="s">
        <v>292</v>
      </c>
      <c r="H5" s="72" t="s">
        <v>293</v>
      </c>
      <c r="I5" s="37" t="s">
        <v>294</v>
      </c>
      <c r="J5" s="64" t="s">
        <v>295</v>
      </c>
    </row>
    <row r="6" spans="1:25">
      <c r="A6" s="57"/>
      <c r="B6" s="58"/>
      <c r="C6" s="68" t="s">
        <v>296</v>
      </c>
      <c r="E6" s="73" t="s">
        <v>297</v>
      </c>
      <c r="F6" s="74">
        <v>5</v>
      </c>
      <c r="G6" s="75" t="s">
        <v>298</v>
      </c>
      <c r="H6" s="76" t="s">
        <v>299</v>
      </c>
      <c r="I6" s="37" t="s">
        <v>300</v>
      </c>
      <c r="J6" s="77" t="s">
        <v>295</v>
      </c>
    </row>
    <row r="7" spans="1:25">
      <c r="A7" s="78" t="s">
        <v>301</v>
      </c>
      <c r="B7" s="79" t="s">
        <v>196</v>
      </c>
      <c r="C7" s="80" t="s">
        <v>302</v>
      </c>
      <c r="E7" s="69" t="s">
        <v>303</v>
      </c>
      <c r="F7" s="70">
        <v>3</v>
      </c>
      <c r="G7" s="71" t="s">
        <v>304</v>
      </c>
      <c r="H7" s="81" t="s">
        <v>305</v>
      </c>
      <c r="J7" s="64"/>
    </row>
    <row r="8" spans="1:25">
      <c r="A8" s="57"/>
      <c r="B8" s="58"/>
      <c r="C8" s="59" t="s">
        <v>306</v>
      </c>
      <c r="E8" s="69" t="s">
        <v>307</v>
      </c>
      <c r="F8" s="70">
        <v>3</v>
      </c>
      <c r="G8" s="71" t="s">
        <v>308</v>
      </c>
      <c r="H8" s="81" t="s">
        <v>309</v>
      </c>
      <c r="J8" s="64"/>
    </row>
    <row r="9" spans="1:25">
      <c r="A9" s="57"/>
      <c r="B9" s="58"/>
      <c r="C9" s="68" t="s">
        <v>310</v>
      </c>
      <c r="E9" s="69" t="s">
        <v>311</v>
      </c>
      <c r="F9" s="70">
        <v>3</v>
      </c>
      <c r="G9" s="71" t="s">
        <v>312</v>
      </c>
      <c r="H9" s="81" t="s">
        <v>313</v>
      </c>
      <c r="J9" s="64"/>
    </row>
    <row r="10" spans="1:25">
      <c r="A10" s="57"/>
      <c r="B10" s="58"/>
      <c r="C10" s="68" t="s">
        <v>314</v>
      </c>
      <c r="E10" s="73" t="s">
        <v>315</v>
      </c>
      <c r="F10" s="74">
        <v>5</v>
      </c>
      <c r="G10" s="75" t="s">
        <v>316</v>
      </c>
      <c r="H10" s="76" t="s">
        <v>317</v>
      </c>
      <c r="I10" s="37" t="s">
        <v>300</v>
      </c>
      <c r="J10" s="82" t="s">
        <v>295</v>
      </c>
    </row>
    <row r="11" spans="1:25">
      <c r="A11" s="78" t="s">
        <v>318</v>
      </c>
      <c r="B11" s="79" t="s">
        <v>200</v>
      </c>
      <c r="C11" s="83" t="s">
        <v>319</v>
      </c>
      <c r="E11" s="69" t="s">
        <v>320</v>
      </c>
      <c r="F11" s="70">
        <v>3</v>
      </c>
      <c r="G11" s="37" t="s">
        <v>321</v>
      </c>
      <c r="H11" s="84" t="s">
        <v>322</v>
      </c>
      <c r="J11" s="64"/>
    </row>
    <row r="12" spans="1:25">
      <c r="A12" s="57"/>
      <c r="B12" s="58"/>
      <c r="C12" s="85" t="s">
        <v>323</v>
      </c>
      <c r="E12" s="86" t="s">
        <v>324</v>
      </c>
      <c r="F12" s="74">
        <v>4</v>
      </c>
      <c r="G12" s="87" t="s">
        <v>325</v>
      </c>
      <c r="H12" s="88" t="s">
        <v>326</v>
      </c>
      <c r="I12" s="37" t="s">
        <v>327</v>
      </c>
      <c r="J12" s="77" t="s">
        <v>328</v>
      </c>
    </row>
    <row r="13" spans="1:25">
      <c r="A13" s="57"/>
      <c r="B13" s="58"/>
      <c r="C13" s="85" t="s">
        <v>315</v>
      </c>
      <c r="E13" s="89" t="s">
        <v>329</v>
      </c>
      <c r="F13" s="70">
        <v>2</v>
      </c>
      <c r="G13" s="37" t="s">
        <v>330</v>
      </c>
      <c r="H13" s="84" t="s">
        <v>331</v>
      </c>
      <c r="J13" s="64"/>
    </row>
    <row r="14" spans="1:25">
      <c r="A14" s="57"/>
      <c r="B14" s="58"/>
      <c r="C14" s="59" t="s">
        <v>302</v>
      </c>
      <c r="E14" s="89" t="s">
        <v>332</v>
      </c>
      <c r="F14" s="70">
        <v>2</v>
      </c>
      <c r="G14" s="37" t="s">
        <v>333</v>
      </c>
      <c r="H14" s="84" t="s">
        <v>334</v>
      </c>
      <c r="I14" s="37" t="s">
        <v>335</v>
      </c>
      <c r="J14" s="64"/>
    </row>
    <row r="15" spans="1:25">
      <c r="A15" s="57"/>
      <c r="B15" s="58"/>
      <c r="C15" s="59" t="s">
        <v>336</v>
      </c>
      <c r="E15" s="89" t="s">
        <v>337</v>
      </c>
      <c r="F15" s="70">
        <v>4</v>
      </c>
      <c r="G15" s="37" t="s">
        <v>338</v>
      </c>
      <c r="H15" s="84" t="s">
        <v>339</v>
      </c>
      <c r="I15" s="37" t="s">
        <v>340</v>
      </c>
      <c r="J15" s="64" t="s">
        <v>127</v>
      </c>
      <c r="K15" s="12" t="s">
        <v>341</v>
      </c>
    </row>
    <row r="16" spans="1:25">
      <c r="A16" s="57"/>
      <c r="B16" s="58"/>
      <c r="C16" s="68" t="s">
        <v>290</v>
      </c>
      <c r="E16" s="89" t="s">
        <v>342</v>
      </c>
      <c r="F16" s="70">
        <v>4</v>
      </c>
      <c r="G16" s="37" t="s">
        <v>343</v>
      </c>
      <c r="H16" s="84" t="s">
        <v>344</v>
      </c>
      <c r="I16" s="37" t="s">
        <v>340</v>
      </c>
      <c r="J16" s="64" t="s">
        <v>127</v>
      </c>
    </row>
    <row r="17" spans="1:10">
      <c r="A17" s="78" t="s">
        <v>345</v>
      </c>
      <c r="B17" s="79" t="s">
        <v>201</v>
      </c>
      <c r="C17" s="83" t="s">
        <v>315</v>
      </c>
      <c r="E17" s="89" t="s">
        <v>288</v>
      </c>
      <c r="F17" s="70">
        <v>3</v>
      </c>
      <c r="G17" s="37" t="s">
        <v>346</v>
      </c>
      <c r="H17" s="84" t="s">
        <v>347</v>
      </c>
      <c r="I17" s="37" t="s">
        <v>348</v>
      </c>
      <c r="J17" s="64" t="s">
        <v>127</v>
      </c>
    </row>
    <row r="18" ht="16.5" customHeight="1" spans="1:10">
      <c r="A18" s="57"/>
      <c r="B18" s="58"/>
      <c r="C18" s="59" t="s">
        <v>349</v>
      </c>
      <c r="E18" s="89" t="s">
        <v>350</v>
      </c>
      <c r="F18" s="26">
        <v>5</v>
      </c>
      <c r="G18" s="37" t="s">
        <v>351</v>
      </c>
      <c r="H18" s="90" t="s">
        <v>352</v>
      </c>
      <c r="J18" s="64"/>
    </row>
    <row r="19" spans="1:10">
      <c r="A19" s="57"/>
      <c r="B19" s="58"/>
      <c r="C19" s="68" t="s">
        <v>353</v>
      </c>
      <c r="E19" s="89" t="s">
        <v>302</v>
      </c>
      <c r="F19" s="70">
        <v>4</v>
      </c>
      <c r="G19" s="37" t="s">
        <v>354</v>
      </c>
      <c r="H19" s="84" t="s">
        <v>355</v>
      </c>
      <c r="J19" s="64"/>
    </row>
    <row r="20" spans="1:10">
      <c r="A20" s="78" t="s">
        <v>356</v>
      </c>
      <c r="B20" s="79" t="s">
        <v>194</v>
      </c>
      <c r="C20" s="80" t="s">
        <v>357</v>
      </c>
      <c r="E20" s="89" t="s">
        <v>358</v>
      </c>
      <c r="F20" s="70">
        <v>3</v>
      </c>
      <c r="G20" s="37" t="s">
        <v>359</v>
      </c>
      <c r="H20" s="84" t="s">
        <v>360</v>
      </c>
      <c r="J20" s="64"/>
    </row>
    <row r="21" spans="1:10">
      <c r="A21" s="57"/>
      <c r="B21" s="58"/>
      <c r="C21" s="59" t="s">
        <v>350</v>
      </c>
      <c r="E21" s="89" t="s">
        <v>306</v>
      </c>
      <c r="F21" s="70">
        <v>4</v>
      </c>
      <c r="G21" s="37" t="s">
        <v>361</v>
      </c>
      <c r="H21" s="84" t="s">
        <v>362</v>
      </c>
      <c r="J21" s="64"/>
    </row>
    <row r="22" spans="1:10">
      <c r="A22" s="57"/>
      <c r="B22" s="58"/>
      <c r="C22" s="68" t="s">
        <v>363</v>
      </c>
      <c r="E22" s="89" t="s">
        <v>364</v>
      </c>
      <c r="F22" s="70">
        <v>4</v>
      </c>
      <c r="G22" s="37" t="s">
        <v>365</v>
      </c>
      <c r="H22" s="84" t="s">
        <v>366</v>
      </c>
      <c r="I22" s="37" t="s">
        <v>367</v>
      </c>
      <c r="J22" s="64" t="s">
        <v>57</v>
      </c>
    </row>
    <row r="23" spans="1:10">
      <c r="A23" s="57"/>
      <c r="B23" s="58"/>
      <c r="C23" s="68" t="s">
        <v>368</v>
      </c>
      <c r="E23" s="89" t="s">
        <v>336</v>
      </c>
      <c r="F23" s="70">
        <v>3</v>
      </c>
      <c r="G23" s="37" t="s">
        <v>369</v>
      </c>
      <c r="H23" s="84" t="s">
        <v>370</v>
      </c>
      <c r="I23" s="37" t="s">
        <v>371</v>
      </c>
      <c r="J23" s="64" t="s">
        <v>372</v>
      </c>
    </row>
    <row r="24" spans="1:10">
      <c r="A24" s="57"/>
      <c r="B24" s="58"/>
      <c r="C24" s="68" t="s">
        <v>373</v>
      </c>
      <c r="E24" s="89" t="s">
        <v>349</v>
      </c>
      <c r="F24" s="70">
        <v>4</v>
      </c>
      <c r="G24" s="37" t="s">
        <v>374</v>
      </c>
      <c r="H24" s="84" t="s">
        <v>375</v>
      </c>
      <c r="J24" s="64"/>
    </row>
    <row r="25" spans="1:10">
      <c r="A25" s="78" t="s">
        <v>376</v>
      </c>
      <c r="B25" s="79" t="s">
        <v>202</v>
      </c>
      <c r="C25" s="91" t="s">
        <v>377</v>
      </c>
      <c r="E25" s="89" t="s">
        <v>378</v>
      </c>
      <c r="F25" s="70">
        <v>2</v>
      </c>
      <c r="G25" s="37" t="s">
        <v>379</v>
      </c>
      <c r="H25" s="84" t="s">
        <v>380</v>
      </c>
      <c r="J25" s="64"/>
    </row>
    <row r="26" ht="16.5" customHeight="1" spans="1:10">
      <c r="A26" s="57"/>
      <c r="B26" s="58"/>
      <c r="C26" s="68" t="s">
        <v>381</v>
      </c>
      <c r="E26" s="92" t="s">
        <v>382</v>
      </c>
      <c r="F26" s="70">
        <v>5</v>
      </c>
      <c r="G26" s="37" t="s">
        <v>383</v>
      </c>
      <c r="H26" s="84" t="s">
        <v>384</v>
      </c>
      <c r="J26" s="64"/>
    </row>
    <row r="27" spans="1:10">
      <c r="A27" s="78" t="s">
        <v>59</v>
      </c>
      <c r="B27" s="79" t="s">
        <v>205</v>
      </c>
      <c r="C27" s="80" t="s">
        <v>385</v>
      </c>
      <c r="E27" s="92" t="s">
        <v>386</v>
      </c>
      <c r="F27" s="70">
        <v>5</v>
      </c>
      <c r="G27" s="37" t="s">
        <v>387</v>
      </c>
      <c r="H27" s="84" t="s">
        <v>388</v>
      </c>
      <c r="J27" s="64"/>
    </row>
    <row r="28" ht="16.5" customHeight="1" spans="1:10">
      <c r="A28" s="57"/>
      <c r="B28" s="58"/>
      <c r="C28" s="59" t="s">
        <v>350</v>
      </c>
      <c r="E28" s="92" t="s">
        <v>389</v>
      </c>
      <c r="F28" s="70">
        <v>6</v>
      </c>
      <c r="G28" s="37" t="s">
        <v>390</v>
      </c>
      <c r="H28" s="84" t="s">
        <v>391</v>
      </c>
      <c r="J28" s="64"/>
    </row>
    <row r="29" spans="1:10">
      <c r="A29" s="57"/>
      <c r="B29" s="58"/>
      <c r="C29" s="59" t="s">
        <v>358</v>
      </c>
      <c r="E29" s="92" t="s">
        <v>392</v>
      </c>
      <c r="F29" s="70">
        <v>4</v>
      </c>
      <c r="G29" s="37" t="s">
        <v>393</v>
      </c>
      <c r="H29" s="84" t="s">
        <v>394</v>
      </c>
      <c r="J29" s="64"/>
    </row>
    <row r="30" spans="1:10">
      <c r="A30" s="57"/>
      <c r="B30" s="58"/>
      <c r="C30" s="68" t="s">
        <v>395</v>
      </c>
      <c r="E30" s="92" t="s">
        <v>290</v>
      </c>
      <c r="F30" s="70">
        <v>4</v>
      </c>
      <c r="G30" s="37" t="s">
        <v>396</v>
      </c>
      <c r="H30" s="84" t="s">
        <v>397</v>
      </c>
      <c r="I30" s="37" t="s">
        <v>398</v>
      </c>
      <c r="J30" s="64"/>
    </row>
    <row r="31" spans="1:10">
      <c r="A31" s="57"/>
      <c r="B31" s="58"/>
      <c r="C31" s="68" t="s">
        <v>368</v>
      </c>
      <c r="E31" s="92" t="s">
        <v>399</v>
      </c>
      <c r="F31" s="70">
        <v>3</v>
      </c>
      <c r="G31" s="37" t="s">
        <v>400</v>
      </c>
      <c r="H31" s="84" t="s">
        <v>401</v>
      </c>
      <c r="I31" s="37" t="s">
        <v>402</v>
      </c>
      <c r="J31" s="64"/>
    </row>
    <row r="32" spans="1:10">
      <c r="A32" s="57"/>
      <c r="B32" s="58"/>
      <c r="C32" s="68" t="s">
        <v>353</v>
      </c>
      <c r="E32" s="92" t="s">
        <v>403</v>
      </c>
      <c r="F32" s="26">
        <v>6</v>
      </c>
      <c r="G32" s="37" t="s">
        <v>404</v>
      </c>
      <c r="H32" s="90" t="s">
        <v>405</v>
      </c>
      <c r="J32" s="64"/>
    </row>
    <row r="33" spans="1:10">
      <c r="A33" s="78" t="s">
        <v>406</v>
      </c>
      <c r="B33" s="79" t="s">
        <v>206</v>
      </c>
      <c r="C33" s="91" t="s">
        <v>395</v>
      </c>
      <c r="E33" s="92" t="s">
        <v>310</v>
      </c>
      <c r="F33" s="70">
        <v>2</v>
      </c>
      <c r="G33" s="37" t="s">
        <v>407</v>
      </c>
      <c r="H33" s="84" t="s">
        <v>408</v>
      </c>
      <c r="I33" s="37" t="s">
        <v>409</v>
      </c>
      <c r="J33" s="77" t="s">
        <v>295</v>
      </c>
    </row>
    <row r="34" ht="16.5" customHeight="1" spans="1:10">
      <c r="A34" s="57"/>
      <c r="B34" s="58"/>
      <c r="C34" s="68" t="s">
        <v>377</v>
      </c>
      <c r="E34" s="92" t="s">
        <v>296</v>
      </c>
      <c r="F34" s="70">
        <v>4</v>
      </c>
      <c r="G34" s="37" t="s">
        <v>410</v>
      </c>
      <c r="H34" s="84" t="s">
        <v>411</v>
      </c>
      <c r="I34" s="37" t="s">
        <v>412</v>
      </c>
      <c r="J34" s="64" t="s">
        <v>127</v>
      </c>
    </row>
    <row r="35" spans="1:10">
      <c r="A35" s="57"/>
      <c r="B35" s="58"/>
      <c r="C35" s="68" t="s">
        <v>353</v>
      </c>
      <c r="E35" s="92" t="s">
        <v>377</v>
      </c>
      <c r="F35" s="70">
        <v>6</v>
      </c>
      <c r="G35" s="37" t="s">
        <v>413</v>
      </c>
      <c r="H35" s="84" t="s">
        <v>414</v>
      </c>
      <c r="I35" s="37" t="s">
        <v>415</v>
      </c>
      <c r="J35" s="64" t="s">
        <v>45</v>
      </c>
    </row>
    <row r="36" spans="1:10">
      <c r="A36" s="57"/>
      <c r="B36" s="58"/>
      <c r="C36" s="68" t="s">
        <v>416</v>
      </c>
      <c r="E36" s="92" t="s">
        <v>353</v>
      </c>
      <c r="F36" s="70">
        <v>5</v>
      </c>
      <c r="G36" s="37" t="s">
        <v>417</v>
      </c>
      <c r="J36" s="64"/>
    </row>
    <row r="37" spans="1:10">
      <c r="A37" s="57"/>
      <c r="B37" s="58"/>
      <c r="C37" s="68" t="s">
        <v>373</v>
      </c>
      <c r="E37" s="92" t="s">
        <v>416</v>
      </c>
      <c r="F37" s="70">
        <v>5</v>
      </c>
      <c r="G37" s="37" t="s">
        <v>418</v>
      </c>
      <c r="H37" s="84" t="s">
        <v>419</v>
      </c>
      <c r="J37" s="64"/>
    </row>
    <row r="38" spans="1:10">
      <c r="A38" s="57"/>
      <c r="B38" s="58"/>
      <c r="C38" s="68" t="s">
        <v>381</v>
      </c>
      <c r="E38" s="92" t="s">
        <v>314</v>
      </c>
      <c r="F38" s="70">
        <v>2</v>
      </c>
      <c r="G38" s="37" t="s">
        <v>407</v>
      </c>
      <c r="H38" s="84" t="s">
        <v>420</v>
      </c>
      <c r="I38" s="37" t="s">
        <v>421</v>
      </c>
      <c r="J38" s="64"/>
    </row>
    <row r="39" spans="1:10">
      <c r="A39" s="78" t="s">
        <v>207</v>
      </c>
      <c r="B39" s="79" t="s">
        <v>207</v>
      </c>
      <c r="C39" s="83" t="s">
        <v>319</v>
      </c>
      <c r="E39" s="92" t="s">
        <v>373</v>
      </c>
      <c r="F39" s="70">
        <v>4</v>
      </c>
      <c r="G39" s="37" t="s">
        <v>422</v>
      </c>
      <c r="H39" s="84" t="s">
        <v>423</v>
      </c>
      <c r="J39" s="64"/>
    </row>
    <row r="40" ht="16.5" customHeight="1" spans="1:10">
      <c r="A40" s="57"/>
      <c r="B40" s="58"/>
      <c r="C40" s="85" t="s">
        <v>320</v>
      </c>
      <c r="E40" s="93" t="s">
        <v>381</v>
      </c>
      <c r="F40" s="94">
        <v>4</v>
      </c>
      <c r="G40" s="95" t="s">
        <v>424</v>
      </c>
      <c r="H40" s="96" t="s">
        <v>425</v>
      </c>
      <c r="I40" s="95"/>
      <c r="J40" s="97"/>
    </row>
    <row r="41" spans="1:10">
      <c r="A41" s="57"/>
      <c r="B41" s="58"/>
      <c r="C41" s="85" t="s">
        <v>324</v>
      </c>
    </row>
    <row r="42" spans="1:10">
      <c r="A42" s="57"/>
      <c r="B42" s="58"/>
      <c r="C42" s="85" t="s">
        <v>426</v>
      </c>
    </row>
    <row r="43" spans="1:10">
      <c r="A43" s="57"/>
      <c r="B43" s="58"/>
      <c r="C43" s="59" t="s">
        <v>385</v>
      </c>
    </row>
    <row r="44" spans="1:10">
      <c r="A44" s="57"/>
      <c r="B44" s="58"/>
      <c r="C44" s="59" t="s">
        <v>350</v>
      </c>
    </row>
    <row r="45" spans="1:10">
      <c r="A45" s="57"/>
      <c r="B45" s="58"/>
      <c r="C45" s="68" t="s">
        <v>427</v>
      </c>
    </row>
    <row r="46" spans="1:10">
      <c r="A46" s="57"/>
      <c r="B46" s="58"/>
      <c r="C46" s="98" t="s">
        <v>403</v>
      </c>
    </row>
    <row r="47" spans="1:10">
      <c r="A47" s="78" t="s">
        <v>428</v>
      </c>
      <c r="B47" s="79" t="s">
        <v>212</v>
      </c>
      <c r="C47" s="80" t="s">
        <v>279</v>
      </c>
    </row>
    <row r="48" ht="16.5" customHeight="1" spans="1:10">
      <c r="A48" s="57"/>
      <c r="B48" s="58"/>
      <c r="C48" s="59" t="s">
        <v>302</v>
      </c>
    </row>
    <row r="49" spans="1:3">
      <c r="A49" s="57"/>
      <c r="B49" s="58"/>
      <c r="C49" s="59" t="s">
        <v>306</v>
      </c>
    </row>
    <row r="50" spans="1:3">
      <c r="A50" s="57"/>
      <c r="B50" s="58"/>
      <c r="C50" s="59" t="s">
        <v>336</v>
      </c>
    </row>
    <row r="51" spans="1:3">
      <c r="A51" s="57"/>
      <c r="B51" s="58"/>
      <c r="C51" s="68" t="s">
        <v>290</v>
      </c>
    </row>
    <row r="52" spans="1:3">
      <c r="A52" s="78" t="s">
        <v>429</v>
      </c>
      <c r="B52" s="79" t="s">
        <v>217</v>
      </c>
      <c r="C52" s="80" t="s">
        <v>306</v>
      </c>
    </row>
    <row r="53" ht="16.5" customHeight="1" spans="1:3">
      <c r="A53" s="57"/>
      <c r="B53" s="58"/>
      <c r="C53" s="59" t="s">
        <v>364</v>
      </c>
    </row>
    <row r="54" spans="1:3">
      <c r="A54" s="57"/>
      <c r="B54" s="58"/>
      <c r="C54" s="68" t="s">
        <v>363</v>
      </c>
    </row>
    <row r="55" spans="1:3">
      <c r="A55" s="57"/>
      <c r="B55" s="58"/>
      <c r="C55" s="68" t="s">
        <v>368</v>
      </c>
    </row>
    <row r="56" spans="1:3">
      <c r="A56" s="57"/>
      <c r="B56" s="58"/>
      <c r="C56" s="68" t="s">
        <v>296</v>
      </c>
    </row>
    <row r="57" spans="1:3">
      <c r="A57" s="57"/>
      <c r="B57" s="58"/>
      <c r="C57" s="68" t="s">
        <v>416</v>
      </c>
    </row>
    <row r="58" spans="1:3">
      <c r="A58" s="78" t="s">
        <v>430</v>
      </c>
      <c r="B58" s="79" t="s">
        <v>219</v>
      </c>
      <c r="C58" s="80" t="s">
        <v>336</v>
      </c>
    </row>
    <row r="59" ht="16.5" customHeight="1" spans="1:3">
      <c r="A59" s="57"/>
      <c r="B59" s="58"/>
      <c r="C59" s="68" t="s">
        <v>368</v>
      </c>
    </row>
    <row r="60" spans="1:3">
      <c r="A60" s="78" t="s">
        <v>233</v>
      </c>
      <c r="B60" s="79" t="s">
        <v>233</v>
      </c>
      <c r="C60" s="83" t="s">
        <v>431</v>
      </c>
    </row>
    <row r="61" spans="1:3">
      <c r="A61" s="57"/>
      <c r="B61" s="58"/>
      <c r="C61" s="85" t="s">
        <v>426</v>
      </c>
    </row>
    <row r="62" spans="1:3">
      <c r="A62" s="57"/>
      <c r="B62" s="58"/>
      <c r="C62" s="85" t="s">
        <v>324</v>
      </c>
    </row>
    <row r="63" spans="1:3">
      <c r="A63" s="57"/>
      <c r="B63" s="58"/>
      <c r="C63" s="59" t="s">
        <v>279</v>
      </c>
    </row>
    <row r="64" spans="1:3">
      <c r="A64" s="57"/>
      <c r="B64" s="58"/>
      <c r="C64" s="59" t="s">
        <v>282</v>
      </c>
    </row>
    <row r="65" spans="1:3">
      <c r="A65" s="57"/>
      <c r="B65" s="58"/>
      <c r="C65" s="59" t="s">
        <v>288</v>
      </c>
    </row>
    <row r="66" spans="1:3">
      <c r="A66" s="57"/>
      <c r="B66" s="58"/>
      <c r="C66" s="59" t="s">
        <v>349</v>
      </c>
    </row>
    <row r="67" spans="1:3">
      <c r="A67" s="57"/>
      <c r="B67" s="58"/>
      <c r="C67" s="68" t="s">
        <v>395</v>
      </c>
    </row>
    <row r="68" spans="1:3">
      <c r="A68" s="57"/>
      <c r="B68" s="58"/>
      <c r="C68" s="68" t="s">
        <v>403</v>
      </c>
    </row>
    <row r="69" spans="1:3">
      <c r="A69" s="57"/>
      <c r="B69" s="58"/>
      <c r="C69" s="68" t="s">
        <v>353</v>
      </c>
    </row>
    <row r="70" spans="1:3">
      <c r="A70" s="99" t="s">
        <v>432</v>
      </c>
      <c r="B70" s="100" t="s">
        <v>433</v>
      </c>
      <c r="C70" s="83" t="s">
        <v>319</v>
      </c>
    </row>
    <row r="71" ht="16.5" customHeight="1" spans="1:3">
      <c r="A71" s="57"/>
      <c r="B71" s="58"/>
      <c r="C71" s="85" t="s">
        <v>311</v>
      </c>
    </row>
    <row r="72" ht="14" customHeight="1" spans="1:3">
      <c r="A72" s="57"/>
      <c r="B72" s="58"/>
      <c r="C72" s="85" t="s">
        <v>315</v>
      </c>
    </row>
    <row r="73" ht="14" customHeight="1" spans="1:3">
      <c r="A73" s="57"/>
      <c r="B73" s="58"/>
      <c r="C73" s="59" t="s">
        <v>358</v>
      </c>
    </row>
    <row r="74" ht="14" customHeight="1" spans="1:3">
      <c r="A74" s="57"/>
      <c r="B74" s="58"/>
      <c r="C74" s="59" t="s">
        <v>378</v>
      </c>
    </row>
    <row r="75" ht="14" customHeight="1" spans="1:3">
      <c r="A75" s="78" t="s">
        <v>434</v>
      </c>
      <c r="B75" s="79" t="s">
        <v>220</v>
      </c>
      <c r="C75" s="91" t="s">
        <v>403</v>
      </c>
    </row>
    <row r="76" ht="16.5" customHeight="1" spans="1:3">
      <c r="A76" s="101"/>
      <c r="B76" s="102"/>
      <c r="C76" s="68" t="s">
        <v>377</v>
      </c>
    </row>
    <row r="77" spans="1:3">
      <c r="A77" s="103"/>
      <c r="B77"/>
      <c r="C77" s="68" t="s">
        <v>416</v>
      </c>
    </row>
    <row r="78" spans="1:3">
      <c r="A78" s="103"/>
      <c r="B78"/>
      <c r="C78" s="68" t="s">
        <v>381</v>
      </c>
    </row>
    <row r="79" spans="1:3">
      <c r="A79" s="104" t="s">
        <v>435</v>
      </c>
      <c r="B79" s="105" t="s">
        <v>223</v>
      </c>
      <c r="C79" s="106" t="s">
        <v>431</v>
      </c>
    </row>
    <row r="80" spans="1:3">
      <c r="A80" s="57"/>
      <c r="B80" s="58"/>
      <c r="C80" s="85" t="s">
        <v>323</v>
      </c>
    </row>
    <row r="81" ht="14" customHeight="1" spans="1:3">
      <c r="A81" s="57"/>
      <c r="B81" s="58"/>
      <c r="C81" s="85" t="s">
        <v>320</v>
      </c>
    </row>
    <row r="82" ht="14" customHeight="1" spans="1:3">
      <c r="A82" s="57"/>
      <c r="B82" s="58"/>
      <c r="C82" s="68" t="s">
        <v>377</v>
      </c>
    </row>
    <row r="83" ht="14" customHeight="1" spans="1:3">
      <c r="A83" s="78" t="s">
        <v>436</v>
      </c>
      <c r="B83" s="79" t="s">
        <v>224</v>
      </c>
      <c r="C83" s="83" t="s">
        <v>431</v>
      </c>
    </row>
    <row r="84" ht="16.5" customHeight="1" spans="1:3">
      <c r="A84" s="57"/>
      <c r="B84" s="58"/>
      <c r="C84" s="85" t="s">
        <v>426</v>
      </c>
    </row>
    <row r="85" spans="1:3">
      <c r="A85" s="57"/>
      <c r="B85" s="58"/>
      <c r="C85" s="68" t="s">
        <v>368</v>
      </c>
    </row>
    <row r="86" spans="1:3">
      <c r="A86" s="57"/>
      <c r="B86" s="58"/>
      <c r="C86" s="68" t="s">
        <v>296</v>
      </c>
    </row>
    <row r="87" spans="1:3">
      <c r="A87" s="57"/>
      <c r="B87" s="58"/>
      <c r="C87" s="68" t="s">
        <v>377</v>
      </c>
    </row>
    <row r="88" spans="1:3">
      <c r="A88" s="78" t="s">
        <v>437</v>
      </c>
      <c r="B88" s="79" t="s">
        <v>229</v>
      </c>
      <c r="C88" s="83" t="s">
        <v>324</v>
      </c>
    </row>
    <row r="89" ht="16.5" customHeight="1" spans="1:3">
      <c r="A89" s="57"/>
      <c r="B89" s="58"/>
      <c r="C89" s="59" t="s">
        <v>349</v>
      </c>
    </row>
    <row r="90" spans="1:3">
      <c r="A90" s="78" t="s">
        <v>438</v>
      </c>
      <c r="B90" s="79" t="s">
        <v>271</v>
      </c>
      <c r="C90" s="91" t="s">
        <v>395</v>
      </c>
    </row>
    <row r="91" ht="16.5" customHeight="1" spans="1:3">
      <c r="A91" s="57"/>
      <c r="B91" s="58"/>
      <c r="C91" s="68" t="s">
        <v>363</v>
      </c>
    </row>
    <row r="92" ht="16.5" customHeight="1" spans="1:3">
      <c r="A92" s="57"/>
      <c r="B92" s="58"/>
      <c r="C92" s="68" t="s">
        <v>368</v>
      </c>
    </row>
    <row r="93" spans="1:3">
      <c r="A93" s="57"/>
      <c r="B93" s="58"/>
      <c r="C93" s="68" t="s">
        <v>427</v>
      </c>
    </row>
    <row r="94" spans="1:3">
      <c r="A94" s="57"/>
      <c r="B94" s="58"/>
      <c r="C94" s="68" t="s">
        <v>403</v>
      </c>
    </row>
    <row r="95" spans="1:3">
      <c r="A95" s="78" t="s">
        <v>260</v>
      </c>
      <c r="B95" s="79" t="s">
        <v>260</v>
      </c>
      <c r="C95" s="91" t="s">
        <v>427</v>
      </c>
    </row>
    <row r="96" spans="1:3">
      <c r="A96" s="57"/>
      <c r="B96" s="58"/>
      <c r="C96" s="68" t="s">
        <v>290</v>
      </c>
    </row>
    <row r="97" spans="1:3">
      <c r="A97" s="57"/>
      <c r="B97" s="58"/>
      <c r="C97" s="68" t="s">
        <v>399</v>
      </c>
    </row>
    <row r="98" spans="1:3">
      <c r="A98" s="78" t="s">
        <v>439</v>
      </c>
      <c r="B98" s="100" t="s">
        <v>440</v>
      </c>
      <c r="C98" s="83" t="s">
        <v>315</v>
      </c>
    </row>
    <row r="99" spans="1:3">
      <c r="A99" s="57"/>
      <c r="B99" s="58"/>
      <c r="C99" s="107" t="s">
        <v>324</v>
      </c>
    </row>
    <row r="100" spans="1:3">
      <c r="A100" s="57"/>
      <c r="B100" s="58"/>
      <c r="C100" s="108" t="s">
        <v>349</v>
      </c>
    </row>
    <row r="101" spans="1:3">
      <c r="A101" s="57"/>
      <c r="B101" s="58"/>
      <c r="C101" s="68" t="s">
        <v>399</v>
      </c>
    </row>
    <row r="102" spans="1:3">
      <c r="A102" s="78" t="s">
        <v>441</v>
      </c>
      <c r="B102" s="79" t="s">
        <v>259</v>
      </c>
      <c r="C102" s="80" t="s">
        <v>302</v>
      </c>
    </row>
    <row r="103" spans="1:3">
      <c r="A103" s="57"/>
      <c r="B103" s="58"/>
      <c r="C103" s="59" t="s">
        <v>364</v>
      </c>
    </row>
    <row r="104" spans="1:3">
      <c r="A104" s="57"/>
      <c r="B104" s="58"/>
      <c r="C104" s="68" t="s">
        <v>399</v>
      </c>
    </row>
    <row r="105" spans="1:3">
      <c r="A105" s="78" t="s">
        <v>442</v>
      </c>
      <c r="B105" s="100" t="s">
        <v>443</v>
      </c>
      <c r="C105" s="91" t="s">
        <v>403</v>
      </c>
    </row>
    <row r="106" spans="1:3">
      <c r="A106" s="57"/>
      <c r="B106" s="58"/>
      <c r="C106" s="68" t="s">
        <v>296</v>
      </c>
    </row>
    <row r="107" spans="1:3">
      <c r="A107" s="57"/>
      <c r="B107" s="58"/>
      <c r="C107" s="68" t="s">
        <v>416</v>
      </c>
    </row>
    <row r="108" spans="1:3">
      <c r="A108" s="78" t="s">
        <v>444</v>
      </c>
      <c r="B108" s="79" t="s">
        <v>263</v>
      </c>
      <c r="C108" s="91" t="s">
        <v>395</v>
      </c>
    </row>
    <row r="109" spans="1:3">
      <c r="A109" s="57"/>
      <c r="B109" s="58"/>
      <c r="C109" s="68" t="s">
        <v>403</v>
      </c>
    </row>
    <row r="110" spans="1:3">
      <c r="A110" s="57"/>
      <c r="B110" s="58"/>
      <c r="C110" s="68" t="s">
        <v>353</v>
      </c>
    </row>
    <row r="111" spans="1:3">
      <c r="A111" s="57"/>
      <c r="B111" s="58"/>
      <c r="C111" s="68" t="s">
        <v>416</v>
      </c>
    </row>
    <row r="112" spans="1:3">
      <c r="A112" s="78" t="s">
        <v>254</v>
      </c>
      <c r="B112" s="79" t="s">
        <v>254</v>
      </c>
      <c r="C112" s="83" t="s">
        <v>323</v>
      </c>
    </row>
    <row r="113" spans="1:3">
      <c r="A113" s="57"/>
      <c r="B113" s="58"/>
      <c r="C113" s="85" t="s">
        <v>311</v>
      </c>
    </row>
    <row r="114" spans="1:3">
      <c r="A114" s="57"/>
      <c r="B114" s="58"/>
      <c r="C114" s="85" t="s">
        <v>315</v>
      </c>
    </row>
    <row r="115" spans="1:3">
      <c r="A115" s="57"/>
      <c r="B115" s="58"/>
      <c r="C115" s="68" t="s">
        <v>427</v>
      </c>
    </row>
    <row r="116" spans="1:3">
      <c r="A116" s="78" t="s">
        <v>251</v>
      </c>
      <c r="B116" s="79" t="s">
        <v>251</v>
      </c>
      <c r="C116" s="80" t="s">
        <v>282</v>
      </c>
    </row>
    <row r="117" spans="1:3">
      <c r="A117" s="101"/>
      <c r="B117" s="102"/>
      <c r="C117" s="68" t="s">
        <v>363</v>
      </c>
    </row>
    <row r="118" spans="1:3">
      <c r="A118" s="103"/>
      <c r="B118"/>
      <c r="C118" s="68" t="s">
        <v>373</v>
      </c>
    </row>
    <row r="119" spans="1:3">
      <c r="A119" s="104" t="s">
        <v>445</v>
      </c>
      <c r="B119" s="105" t="s">
        <v>446</v>
      </c>
      <c r="C119" s="109" t="s">
        <v>363</v>
      </c>
    </row>
    <row r="120" spans="1:3">
      <c r="A120" s="101"/>
      <c r="B120" s="102"/>
      <c r="C120" s="68" t="s">
        <v>373</v>
      </c>
    </row>
    <row r="121" spans="1:3">
      <c r="A121" s="104" t="s">
        <v>447</v>
      </c>
      <c r="B121" s="105" t="s">
        <v>246</v>
      </c>
      <c r="C121" s="50" t="s">
        <v>306</v>
      </c>
    </row>
    <row r="122" spans="1:3">
      <c r="A122" s="110"/>
      <c r="B122" s="111"/>
      <c r="C122" s="59" t="s">
        <v>364</v>
      </c>
    </row>
    <row r="123" spans="1:3">
      <c r="A123" s="110"/>
      <c r="B123" s="111"/>
      <c r="C123" s="68" t="s">
        <v>310</v>
      </c>
    </row>
    <row r="124" spans="1:3">
      <c r="A124" s="110"/>
      <c r="B124" s="111"/>
      <c r="C124" s="98" t="s">
        <v>314</v>
      </c>
    </row>
    <row r="125" spans="1:3">
      <c r="A125" s="112" t="s">
        <v>448</v>
      </c>
      <c r="B125" s="49" t="s">
        <v>449</v>
      </c>
      <c r="C125" s="106" t="s">
        <v>319</v>
      </c>
    </row>
    <row r="126" spans="1:3">
      <c r="A126" s="113"/>
      <c r="B126" s="114"/>
      <c r="C126" s="115" t="s">
        <v>311</v>
      </c>
    </row>
    <row r="127" ht="16.5" customHeight="1" spans="1:3">
      <c r="A127" s="113"/>
      <c r="B127" s="114"/>
      <c r="C127" s="108" t="s">
        <v>357</v>
      </c>
    </row>
    <row r="128" spans="1:3">
      <c r="A128" s="113"/>
      <c r="B128" s="114"/>
      <c r="C128" s="108" t="s">
        <v>358</v>
      </c>
    </row>
    <row r="129" spans="1:3">
      <c r="A129" s="116" t="s">
        <v>450</v>
      </c>
      <c r="B129" s="117" t="s">
        <v>252</v>
      </c>
      <c r="C129" s="50" t="s">
        <v>279</v>
      </c>
    </row>
    <row r="130" ht="16.5" customHeight="1" spans="1:3">
      <c r="A130" s="118"/>
      <c r="B130" s="119"/>
      <c r="C130" s="108" t="s">
        <v>282</v>
      </c>
    </row>
    <row r="131" ht="16.5" customHeight="1" spans="1:3">
      <c r="A131" s="103"/>
      <c r="B131"/>
      <c r="C131" s="108" t="s">
        <v>288</v>
      </c>
    </row>
    <row r="132" ht="16.5" customHeight="1" spans="1:3">
      <c r="A132" s="103"/>
      <c r="B132"/>
      <c r="C132" s="108" t="s">
        <v>350</v>
      </c>
    </row>
    <row r="133" ht="14.25" customHeight="1" spans="1:3">
      <c r="A133" s="103"/>
      <c r="B133"/>
      <c r="C133" s="108" t="s">
        <v>364</v>
      </c>
    </row>
    <row r="134" ht="16.5" customHeight="1" spans="1:3">
      <c r="A134" s="103"/>
      <c r="B134"/>
      <c r="C134" s="98" t="s">
        <v>377</v>
      </c>
    </row>
    <row r="135" ht="16.5" customHeight="1" spans="1:3">
      <c r="A135" s="104" t="s">
        <v>451</v>
      </c>
      <c r="B135" s="105" t="s">
        <v>253</v>
      </c>
      <c r="C135" s="106" t="s">
        <v>319</v>
      </c>
    </row>
    <row r="136" ht="16.5" customHeight="1" spans="1:3">
      <c r="A136" s="120"/>
      <c r="B136" s="111"/>
      <c r="C136" s="107" t="s">
        <v>320</v>
      </c>
    </row>
    <row r="137" ht="16.5" customHeight="1" spans="1:3">
      <c r="A137" s="120"/>
      <c r="B137" s="111"/>
      <c r="C137" s="108" t="s">
        <v>350</v>
      </c>
    </row>
    <row r="138" ht="16.5" customHeight="1" spans="1:3">
      <c r="A138" s="48" t="s">
        <v>452</v>
      </c>
      <c r="B138" s="49" t="s">
        <v>453</v>
      </c>
      <c r="C138" s="50" t="s">
        <v>378</v>
      </c>
    </row>
    <row r="139" spans="1:3">
      <c r="A139" s="121" t="s">
        <v>454</v>
      </c>
      <c r="B139" s="122" t="s">
        <v>454</v>
      </c>
      <c r="C139" s="123" t="s">
        <v>381</v>
      </c>
    </row>
  </sheetData>
  <mergeCells count="66">
    <mergeCell ref="A2:A6"/>
    <mergeCell ref="A7:A10"/>
    <mergeCell ref="A11:A16"/>
    <mergeCell ref="A17:A19"/>
    <mergeCell ref="A20:A24"/>
    <mergeCell ref="A25:A26"/>
    <mergeCell ref="A27:A32"/>
    <mergeCell ref="A33:A38"/>
    <mergeCell ref="A39:A46"/>
    <mergeCell ref="A47:A51"/>
    <mergeCell ref="A52:A57"/>
    <mergeCell ref="A58:A59"/>
    <mergeCell ref="A60:A69"/>
    <mergeCell ref="A70:A74"/>
    <mergeCell ref="A75:A78"/>
    <mergeCell ref="A79:A82"/>
    <mergeCell ref="A83:A87"/>
    <mergeCell ref="A88:A89"/>
    <mergeCell ref="A90:A94"/>
    <mergeCell ref="A95:A97"/>
    <mergeCell ref="A98:A101"/>
    <mergeCell ref="A102:A104"/>
    <mergeCell ref="A105:A107"/>
    <mergeCell ref="A108:A111"/>
    <mergeCell ref="A112:A115"/>
    <mergeCell ref="A116:A118"/>
    <mergeCell ref="A119:A120"/>
    <mergeCell ref="A121:A124"/>
    <mergeCell ref="A125:A128"/>
    <mergeCell ref="A129:A134"/>
    <mergeCell ref="A135:A137"/>
    <mergeCell ref="B2:B6"/>
    <mergeCell ref="B7:B10"/>
    <mergeCell ref="B11:B16"/>
    <mergeCell ref="B17:B19"/>
    <mergeCell ref="B20:B24"/>
    <mergeCell ref="B25:B26"/>
    <mergeCell ref="B27:B32"/>
    <mergeCell ref="B33:B38"/>
    <mergeCell ref="B39:B46"/>
    <mergeCell ref="B47:B51"/>
    <mergeCell ref="B52:B57"/>
    <mergeCell ref="B58:B59"/>
    <mergeCell ref="B60:B69"/>
    <mergeCell ref="B70:B74"/>
    <mergeCell ref="B75:B78"/>
    <mergeCell ref="B79:B82"/>
    <mergeCell ref="B83:B87"/>
    <mergeCell ref="B88:B89"/>
    <mergeCell ref="B90:B94"/>
    <mergeCell ref="B95:B97"/>
    <mergeCell ref="B98:B101"/>
    <mergeCell ref="B102:B104"/>
    <mergeCell ref="B105:B107"/>
    <mergeCell ref="B108:B111"/>
    <mergeCell ref="B112:B115"/>
    <mergeCell ref="B116:B118"/>
    <mergeCell ref="B119:B120"/>
    <mergeCell ref="B121:B124"/>
    <mergeCell ref="B125:B128"/>
    <mergeCell ref="B129:B134"/>
    <mergeCell ref="B135:B137"/>
    <mergeCell ref="E3:E4"/>
    <mergeCell ref="F3:F4"/>
    <mergeCell ref="G3:G4"/>
    <mergeCell ref="H3:H4"/>
  </mergeCells>
  <hyperlinks>
    <hyperlink ref="I3" r:id="rId3" display="我发现这关刷资源好用 2-26这是一次性关卡，掉落物很... https://xhslink.cn/o/5O52f1ikM3k &#10;带走口令，来【小红书】发现精彩~"/>
  </hyperlink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关卡统计（透视表用）"/>
  <dimension ref="A1:H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7"/>
  <cols>
    <col min="1" max="1" width="8.46296296296296" style="15" customWidth="1"/>
    <col min="2" max="2" width="11.8888888888889" style="15" customWidth="1"/>
    <col min="3" max="3" width="8.46296296296296" style="12" customWidth="1"/>
    <col min="4" max="4" width="8.61111111111111" style="12"/>
    <col min="5" max="5" width="8.75" style="12" customWidth="1"/>
    <col min="6" max="6" width="10.6944444444444" style="15" customWidth="1"/>
    <col min="7" max="7" width="37.0740740740741" style="12" customWidth="1"/>
    <col min="8" max="8" width="17.0462962962963" style="12" customWidth="1"/>
    <col min="9" max="10" width="5.08333333333333" style="12" customWidth="1"/>
    <col min="11" max="14" width="4.08333333333333" style="12" customWidth="1"/>
    <col min="15" max="18" width="5.08333333333333" style="12" customWidth="1"/>
    <col min="19" max="19" width="4.08333333333333" style="12" customWidth="1"/>
    <col min="20" max="24" width="5.08333333333333" style="12" customWidth="1"/>
  </cols>
  <sheetData>
    <row r="1" ht="15.75" customHeight="1" spans="1:8">
      <c r="A1" s="16" t="s">
        <v>184</v>
      </c>
      <c r="B1" s="16" t="s">
        <v>4</v>
      </c>
      <c r="C1" s="17" t="s">
        <v>275</v>
      </c>
      <c r="E1" t="s">
        <v>455</v>
      </c>
      <c r="F1" t="s">
        <v>456</v>
      </c>
      <c r="G1" s="18" t="s">
        <v>277</v>
      </c>
      <c r="H1" s="12" t="s">
        <v>278</v>
      </c>
    </row>
    <row r="2" ht="15.75" customHeight="1" spans="1:8">
      <c r="A2" s="19" t="s">
        <v>231</v>
      </c>
      <c r="B2" s="19" t="s">
        <v>231</v>
      </c>
      <c r="C2" s="20" t="s">
        <v>279</v>
      </c>
      <c r="E2" s="21" t="s">
        <v>368</v>
      </c>
      <c r="F2">
        <v>6</v>
      </c>
      <c r="G2" s="22" t="str">
        <f t="array" ref="G2">_xlfn.TEXTJOIN("、",TRUE,_xlfn._xlws.FILTER($B$2:$B$200,$C$2:$C$200=E2))</f>
        <v>鉄、お米、みかげ石、お花、桃、真珠貝</v>
      </c>
    </row>
    <row r="3" ht="15.75" customHeight="1" spans="1:8">
      <c r="A3" s="19" t="s">
        <v>231</v>
      </c>
      <c r="B3" s="19" t="s">
        <v>231</v>
      </c>
      <c r="C3" s="20" t="s">
        <v>282</v>
      </c>
      <c r="E3" s="21" t="s">
        <v>377</v>
      </c>
      <c r="F3">
        <v>6</v>
      </c>
      <c r="G3" s="22" t="str">
        <f t="array" ref="G3">_xlfn.TEXTJOIN("、",TRUE,_xlfn._xlws.FILTER($B$2:$B$200,$C$2:$C$200=E3))</f>
        <v>ウロコ、塩、サンゴ、葉っぱ、桃、お魚</v>
      </c>
    </row>
    <row r="4" ht="15.75" customHeight="1" spans="1:8">
      <c r="A4" s="19" t="s">
        <v>231</v>
      </c>
      <c r="B4" s="19" t="s">
        <v>231</v>
      </c>
      <c r="C4" s="20" t="s">
        <v>288</v>
      </c>
      <c r="E4" s="21" t="s">
        <v>403</v>
      </c>
      <c r="F4">
        <v>6</v>
      </c>
      <c r="G4" s="23" t="str">
        <f t="array" ref="G4">_xlfn.TEXTJOIN("、",TRUE,_xlfn._xlws.FILTER($B$2:$B$200,$C$2:$C$200=E4))</f>
        <v>大豆、水、サンゴ、真珠貝、カニのはさみ、昆布</v>
      </c>
    </row>
    <row r="5" ht="15.75" customHeight="1" spans="1:8">
      <c r="A5" s="19" t="s">
        <v>231</v>
      </c>
      <c r="B5" s="19" t="s">
        <v>231</v>
      </c>
      <c r="C5" s="20" t="s">
        <v>290</v>
      </c>
      <c r="E5" s="21" t="s">
        <v>363</v>
      </c>
      <c r="F5">
        <v>5</v>
      </c>
      <c r="G5" s="24" t="str">
        <f t="array" ref="G5">_xlfn.TEXTJOIN("、",TRUE,_xlfn._xlws.FILTER($B$2:$B$200,$C$2:$C$200=E5))</f>
        <v>鉄、みかげ石、真珠貝、油、ネジ</v>
      </c>
    </row>
    <row r="6" ht="15.75" customHeight="1" spans="1:8">
      <c r="A6" s="19" t="s">
        <v>231</v>
      </c>
      <c r="B6" s="19" t="s">
        <v>231</v>
      </c>
      <c r="C6" s="20" t="s">
        <v>296</v>
      </c>
      <c r="E6" s="21" t="s">
        <v>416</v>
      </c>
      <c r="F6">
        <v>5</v>
      </c>
      <c r="G6" s="24" t="str">
        <f t="array" ref="G6">_xlfn.TEXTJOIN("、",TRUE,_xlfn._xlws.FILTER($B$2:$B$200,$C$2:$C$200=E6))</f>
        <v>塩、みかげ石、サンゴ、カニのはさみ、昆布</v>
      </c>
    </row>
    <row r="7" ht="15.75" customHeight="1" spans="1:8">
      <c r="A7" s="19" t="s">
        <v>301</v>
      </c>
      <c r="B7" s="19" t="s">
        <v>196</v>
      </c>
      <c r="C7" s="20" t="s">
        <v>302</v>
      </c>
      <c r="E7" s="21" t="s">
        <v>353</v>
      </c>
      <c r="F7">
        <v>5</v>
      </c>
      <c r="G7" s="22" t="str">
        <f t="array" ref="G7">_xlfn.TEXTJOIN("、",TRUE,_xlfn._xlws.FILTER($B$2:$B$200,$C$2:$C$200=E7))</f>
        <v>獣の牙、お米、塩、水、昆布</v>
      </c>
    </row>
    <row r="8" ht="15.75" customHeight="1" spans="1:8">
      <c r="A8" s="19" t="s">
        <v>301</v>
      </c>
      <c r="B8" s="19" t="s">
        <v>196</v>
      </c>
      <c r="C8" s="20" t="s">
        <v>306</v>
      </c>
      <c r="E8" s="21" t="s">
        <v>395</v>
      </c>
      <c r="F8">
        <v>5</v>
      </c>
      <c r="G8" s="22" t="str">
        <f t="array" ref="G8">_xlfn.TEXTJOIN("、",TRUE,_xlfn._xlws.FILTER($B$2:$B$200,$C$2:$C$200=E8))</f>
        <v>お米、塩、水、真珠貝、昆布</v>
      </c>
    </row>
    <row r="9" ht="15.75" customHeight="1" spans="1:8">
      <c r="A9" s="19" t="s">
        <v>301</v>
      </c>
      <c r="B9" s="19" t="s">
        <v>196</v>
      </c>
      <c r="C9" s="20" t="s">
        <v>310</v>
      </c>
      <c r="E9" s="21" t="s">
        <v>350</v>
      </c>
      <c r="F9">
        <v>5</v>
      </c>
      <c r="G9" s="23" t="str">
        <f t="array" ref="G9">_xlfn.TEXTJOIN("、",TRUE,_xlfn._xlws.FILTER($B$2:$B$200,$C$2:$C$200=E9))</f>
        <v>鉄、お米、大豆、お魚、卵</v>
      </c>
    </row>
    <row r="10" ht="15.75" customHeight="1" spans="1:8">
      <c r="A10" s="19" t="s">
        <v>301</v>
      </c>
      <c r="B10" s="19" t="s">
        <v>196</v>
      </c>
      <c r="C10" s="20" t="s">
        <v>314</v>
      </c>
      <c r="E10" s="21" t="s">
        <v>319</v>
      </c>
      <c r="F10">
        <v>5</v>
      </c>
      <c r="G10" s="22" t="str">
        <f t="array" ref="G10">_xlfn.TEXTJOIN("、",TRUE,_xlfn._xlws.FILTER($B$2:$B$200,$C$2:$C$200=E10))</f>
        <v>丸太、大豆、ふさふさの毛、骨付き肉、卵</v>
      </c>
    </row>
    <row r="11" ht="15.75" customHeight="1" spans="1:8">
      <c r="A11" s="25" t="s">
        <v>318</v>
      </c>
      <c r="B11" s="25" t="s">
        <v>200</v>
      </c>
      <c r="C11" s="20" t="s">
        <v>319</v>
      </c>
      <c r="E11" s="21" t="s">
        <v>315</v>
      </c>
      <c r="F11">
        <v>5</v>
      </c>
      <c r="G11" s="22" t="str">
        <f t="array" ref="G11">_xlfn.TEXTJOIN("、",TRUE,_xlfn._xlws.FILTER($B$2:$B$200,$C$2:$C$200=E11))</f>
        <v>丸太、獣の牙、ふさふさの毛、トラの毛皮、麦</v>
      </c>
    </row>
    <row r="12" ht="15.75" customHeight="1" spans="1:8">
      <c r="A12" s="25" t="s">
        <v>318</v>
      </c>
      <c r="B12" s="25" t="s">
        <v>200</v>
      </c>
      <c r="C12" s="20" t="s">
        <v>323</v>
      </c>
      <c r="E12" s="21" t="s">
        <v>427</v>
      </c>
      <c r="F12">
        <v>4</v>
      </c>
      <c r="G12" s="22" t="str">
        <f t="array" ref="G12">_xlfn.TEXTJOIN("、",TRUE,_xlfn._xlws.FILTER($B$2:$B$200,$C$2:$C$200=E12))</f>
        <v>大豆、真珠貝、手旗、麦</v>
      </c>
    </row>
    <row r="13" ht="15.75" customHeight="1" spans="1:8">
      <c r="A13" s="25" t="s">
        <v>318</v>
      </c>
      <c r="B13" s="25" t="s">
        <v>200</v>
      </c>
      <c r="C13" s="20" t="s">
        <v>315</v>
      </c>
      <c r="E13" s="21" t="s">
        <v>381</v>
      </c>
      <c r="F13">
        <v>4</v>
      </c>
      <c r="G13" s="22" t="str">
        <f t="array" ref="G13">_xlfn.TEXTJOIN("、",TRUE,_xlfn._xlws.FILTER($B$2:$B$200,$C$2:$C$200=E13))</f>
        <v>ウロコ、塩、サンゴ、羽衣</v>
      </c>
    </row>
    <row r="14" ht="15.75" customHeight="1" spans="1:8">
      <c r="A14" s="25" t="s">
        <v>318</v>
      </c>
      <c r="B14" s="25" t="s">
        <v>200</v>
      </c>
      <c r="C14" s="20" t="s">
        <v>302</v>
      </c>
      <c r="E14" s="21" t="s">
        <v>373</v>
      </c>
      <c r="F14">
        <v>4</v>
      </c>
      <c r="G14" s="22" t="str">
        <f t="array" ref="G14">_xlfn.TEXTJOIN("、",TRUE,_xlfn._xlws.FILTER($B$2:$B$200,$C$2:$C$200=E14))</f>
        <v>鉄、塩、油、ネジ</v>
      </c>
    </row>
    <row r="15" ht="15.75" customHeight="1" spans="1:8">
      <c r="A15" s="25" t="s">
        <v>318</v>
      </c>
      <c r="B15" s="25" t="s">
        <v>200</v>
      </c>
      <c r="C15" s="20" t="s">
        <v>336</v>
      </c>
      <c r="E15" s="21" t="s">
        <v>296</v>
      </c>
      <c r="F15">
        <v>4</v>
      </c>
      <c r="G15" s="24" t="str">
        <f t="array" ref="G15">_xlfn.TEXTJOIN("、",TRUE,_xlfn._xlws.FILTER($B$2:$B$200,$C$2:$C$200=E15))</f>
        <v>粘土、みかげ石、桃、カニのはさみ</v>
      </c>
    </row>
    <row r="16" ht="15.75" customHeight="1" spans="1:8">
      <c r="A16" s="25" t="s">
        <v>318</v>
      </c>
      <c r="B16" s="25" t="s">
        <v>200</v>
      </c>
      <c r="C16" s="20" t="s">
        <v>290</v>
      </c>
      <c r="E16" s="21" t="s">
        <v>290</v>
      </c>
      <c r="F16">
        <v>4</v>
      </c>
      <c r="G16" s="22" t="str">
        <f t="array" ref="G16">_xlfn.TEXTJOIN("、",TRUE,_xlfn._xlws.FILTER($B$2:$B$200,$C$2:$C$200=E16))</f>
        <v>粘土、丸太、木の枝、手旗</v>
      </c>
    </row>
    <row r="17" ht="15.75" customHeight="1" spans="1:7">
      <c r="A17" s="19" t="s">
        <v>345</v>
      </c>
      <c r="B17" s="19" t="s">
        <v>201</v>
      </c>
      <c r="C17" s="20" t="s">
        <v>315</v>
      </c>
      <c r="E17" s="21" t="s">
        <v>282</v>
      </c>
      <c r="F17">
        <v>4</v>
      </c>
      <c r="G17" s="22" t="str">
        <f t="array" ref="G17">_xlfn.TEXTJOIN("、",TRUE,_xlfn._xlws.FILTER($B$2:$B$200,$C$2:$C$200=E17))</f>
        <v>粘土、水、油、お魚</v>
      </c>
    </row>
    <row r="18" ht="15.75" customHeight="1" spans="1:7">
      <c r="A18" s="19" t="s">
        <v>345</v>
      </c>
      <c r="B18" s="19" t="s">
        <v>201</v>
      </c>
      <c r="C18" s="20" t="s">
        <v>349</v>
      </c>
      <c r="E18" s="21" t="s">
        <v>279</v>
      </c>
      <c r="F18">
        <v>4</v>
      </c>
      <c r="G18" s="22" t="str">
        <f t="array" ref="G18">_xlfn.TEXTJOIN("、",TRUE,_xlfn._xlws.FILTER($B$2:$B$200,$C$2:$C$200=E18))</f>
        <v>粘土、木の枝、水、お魚</v>
      </c>
    </row>
    <row r="19" ht="15.75" customHeight="1" spans="1:7">
      <c r="A19" s="19" t="s">
        <v>345</v>
      </c>
      <c r="B19" s="19" t="s">
        <v>201</v>
      </c>
      <c r="C19" s="20" t="s">
        <v>353</v>
      </c>
      <c r="E19" s="21" t="s">
        <v>349</v>
      </c>
      <c r="F19">
        <v>4</v>
      </c>
      <c r="G19" s="22" t="str">
        <f t="array" ref="G19">_xlfn.TEXTJOIN("、",TRUE,_xlfn._xlws.FILTER($B$2:$B$200,$C$2:$C$200=E19))</f>
        <v>獣の牙、水、鬼のツノ、トラの毛皮</v>
      </c>
    </row>
    <row r="20" ht="15.75" customHeight="1" spans="1:7">
      <c r="A20" s="25" t="s">
        <v>356</v>
      </c>
      <c r="B20" s="25" t="s">
        <v>194</v>
      </c>
      <c r="C20" s="20" t="s">
        <v>357</v>
      </c>
      <c r="E20" s="21" t="s">
        <v>364</v>
      </c>
      <c r="F20">
        <v>4</v>
      </c>
      <c r="G20" s="22" t="str">
        <f t="array" ref="G20">_xlfn.TEXTJOIN("、",TRUE,_xlfn._xlws.FILTER($B$2:$B$200,$C$2:$C$200=E20))</f>
        <v>みかげ石、サイコロ、ろうそく、お魚</v>
      </c>
    </row>
    <row r="21" ht="15.75" customHeight="1" spans="1:7">
      <c r="A21" s="25" t="s">
        <v>356</v>
      </c>
      <c r="B21" s="25" t="s">
        <v>194</v>
      </c>
      <c r="C21" s="20" t="s">
        <v>350</v>
      </c>
      <c r="E21" s="21" t="s">
        <v>306</v>
      </c>
      <c r="F21">
        <v>4</v>
      </c>
      <c r="G21" s="22" t="str">
        <f t="array" ref="G21">_xlfn.TEXTJOIN("、",TRUE,_xlfn._xlws.FILTER($B$2:$B$200,$C$2:$C$200=E21))</f>
        <v>火打ち石、木の枝、みかげ石、ろうそく</v>
      </c>
    </row>
    <row r="22" ht="15.75" customHeight="1" spans="1:7">
      <c r="A22" s="25" t="s">
        <v>356</v>
      </c>
      <c r="B22" s="25" t="s">
        <v>194</v>
      </c>
      <c r="C22" s="20" t="s">
        <v>363</v>
      </c>
      <c r="E22" s="21" t="s">
        <v>302</v>
      </c>
      <c r="F22">
        <v>4</v>
      </c>
      <c r="G22" s="22" t="str">
        <f t="array" ref="G22">_xlfn.TEXTJOIN("、",TRUE,_xlfn._xlws.FILTER($B$2:$B$200,$C$2:$C$200=E22))</f>
        <v>火打ち石、丸太、木の枝、サイコロ</v>
      </c>
    </row>
    <row r="23" ht="15.75" customHeight="1" spans="1:7">
      <c r="A23" s="25" t="s">
        <v>356</v>
      </c>
      <c r="B23" s="25" t="s">
        <v>194</v>
      </c>
      <c r="C23" s="20" t="s">
        <v>368</v>
      </c>
      <c r="E23" s="21" t="s">
        <v>324</v>
      </c>
      <c r="F23">
        <v>4</v>
      </c>
      <c r="G23" s="22" t="str">
        <f t="array" ref="G23">_xlfn.TEXTJOIN("、",TRUE,_xlfn._xlws.FILTER($B$2:$B$200,$C$2:$C$200=E23))</f>
        <v>大豆、水、鬼のツノ、トラの毛皮</v>
      </c>
    </row>
    <row r="24" ht="15.75" customHeight="1" spans="1:7">
      <c r="A24" s="25" t="s">
        <v>356</v>
      </c>
      <c r="B24" s="25" t="s">
        <v>194</v>
      </c>
      <c r="C24" s="20" t="s">
        <v>373</v>
      </c>
      <c r="E24" s="21" t="s">
        <v>399</v>
      </c>
      <c r="F24">
        <v>3</v>
      </c>
      <c r="G24" s="22" t="str">
        <f t="array" ref="G24">_xlfn.TEXTJOIN("、",TRUE,_xlfn._xlws.FILTER($B$2:$B$200,$C$2:$C$200=E24))</f>
        <v>手旗、トラの毛皮、サイコロ</v>
      </c>
    </row>
    <row r="25" ht="15.75" customHeight="1" spans="1:7">
      <c r="A25" s="25" t="s">
        <v>376</v>
      </c>
      <c r="B25" s="25" t="s">
        <v>202</v>
      </c>
      <c r="C25" s="20" t="s">
        <v>377</v>
      </c>
      <c r="E25" s="21" t="s">
        <v>336</v>
      </c>
      <c r="F25">
        <v>3</v>
      </c>
      <c r="G25" s="22" t="str">
        <f t="array" ref="G25">_xlfn.TEXTJOIN("、",TRUE,_xlfn._xlws.FILTER($B$2:$B$200,$C$2:$C$200=E25))</f>
        <v>丸太、木の枝、お花</v>
      </c>
    </row>
    <row r="26" ht="15.75" customHeight="1" spans="1:7">
      <c r="A26" s="25" t="s">
        <v>376</v>
      </c>
      <c r="B26" s="25" t="s">
        <v>202</v>
      </c>
      <c r="C26" s="20" t="s">
        <v>381</v>
      </c>
      <c r="E26" s="21" t="s">
        <v>358</v>
      </c>
      <c r="F26">
        <v>3</v>
      </c>
      <c r="G26" s="22" t="str">
        <f t="array" ref="G26">_xlfn.TEXTJOIN("、",TRUE,_xlfn._xlws.FILTER($B$2:$B$200,$C$2:$C$200=E26))</f>
        <v>お米、ふさふさの毛、骨付き肉</v>
      </c>
    </row>
    <row r="27" ht="15.75" customHeight="1" spans="1:7">
      <c r="A27" s="19" t="s">
        <v>59</v>
      </c>
      <c r="B27" s="19" t="s">
        <v>205</v>
      </c>
      <c r="C27" s="20" t="s">
        <v>385</v>
      </c>
      <c r="E27" s="21" t="s">
        <v>288</v>
      </c>
      <c r="F27">
        <v>3</v>
      </c>
      <c r="G27" s="22" t="str">
        <f t="array" ref="G27">_xlfn.TEXTJOIN("、",TRUE,_xlfn._xlws.FILTER($B$2:$B$200,$C$2:$C$200=E27))</f>
        <v>粘土、水、お魚</v>
      </c>
    </row>
    <row r="28" ht="15.75" customHeight="1" spans="1:7">
      <c r="A28" s="19" t="s">
        <v>59</v>
      </c>
      <c r="B28" s="19" t="s">
        <v>205</v>
      </c>
      <c r="C28" s="20" t="s">
        <v>350</v>
      </c>
      <c r="E28" s="21" t="s">
        <v>426</v>
      </c>
      <c r="F28">
        <v>3</v>
      </c>
      <c r="G28" s="22" t="str">
        <f t="array" ref="G28">_xlfn.TEXTJOIN("、",TRUE,_xlfn._xlws.FILTER($B$2:$B$200,$C$2:$C$200=E28))</f>
        <v>大豆、水、桃</v>
      </c>
    </row>
    <row r="29" ht="15.75" customHeight="1" spans="1:7">
      <c r="A29" s="19" t="s">
        <v>59</v>
      </c>
      <c r="B29" s="19" t="s">
        <v>205</v>
      </c>
      <c r="C29" s="20" t="s">
        <v>358</v>
      </c>
      <c r="E29" s="21" t="s">
        <v>323</v>
      </c>
      <c r="F29">
        <v>3</v>
      </c>
      <c r="G29" s="22" t="str">
        <f t="array" ref="G29">_xlfn.TEXTJOIN("、",TRUE,_xlfn._xlws.FILTER($B$2:$B$200,$C$2:$C$200=E29))</f>
        <v>丸太、葉っぱ、麦</v>
      </c>
    </row>
    <row r="30" ht="15.75" customHeight="1" spans="1:7">
      <c r="A30" s="19" t="s">
        <v>59</v>
      </c>
      <c r="B30" s="19" t="s">
        <v>205</v>
      </c>
      <c r="C30" s="20" t="s">
        <v>395</v>
      </c>
      <c r="E30" s="21" t="s">
        <v>431</v>
      </c>
      <c r="F30">
        <v>3</v>
      </c>
      <c r="G30" s="22" t="str">
        <f t="array" ref="G30">_xlfn.TEXTJOIN("、",TRUE,_xlfn._xlws.FILTER($B$2:$B$200,$C$2:$C$200=E30))</f>
        <v>水、葉っぱ、桃</v>
      </c>
    </row>
    <row r="31" ht="15.75" customHeight="1" spans="1:7">
      <c r="A31" s="19" t="s">
        <v>59</v>
      </c>
      <c r="B31" s="19" t="s">
        <v>205</v>
      </c>
      <c r="C31" s="20" t="s">
        <v>368</v>
      </c>
      <c r="E31" s="21" t="s">
        <v>320</v>
      </c>
      <c r="F31">
        <v>3</v>
      </c>
      <c r="G31" s="22" t="str">
        <f t="array" ref="G31">_xlfn.TEXTJOIN("、",TRUE,_xlfn._xlws.FILTER($B$2:$B$200,$C$2:$C$200=E31))</f>
        <v>大豆、葉っぱ、卵</v>
      </c>
    </row>
    <row r="32" ht="15.75" customHeight="1" spans="1:7">
      <c r="A32" s="19" t="s">
        <v>59</v>
      </c>
      <c r="B32" s="19" t="s">
        <v>205</v>
      </c>
      <c r="C32" s="20" t="s">
        <v>353</v>
      </c>
      <c r="E32" s="21" t="s">
        <v>311</v>
      </c>
      <c r="F32">
        <v>3</v>
      </c>
      <c r="G32" s="22" t="str">
        <f t="array" ref="G32">_xlfn.TEXTJOIN("、",TRUE,_xlfn._xlws.FILTER($B$2:$B$200,$C$2:$C$200=E32))</f>
        <v>ふさふさの毛、麦、骨付き肉</v>
      </c>
    </row>
    <row r="33" ht="15.75" customHeight="1" spans="1:7">
      <c r="A33" s="25" t="s">
        <v>406</v>
      </c>
      <c r="B33" s="25" t="s">
        <v>206</v>
      </c>
      <c r="C33" s="20" t="s">
        <v>395</v>
      </c>
      <c r="E33" s="21" t="s">
        <v>314</v>
      </c>
      <c r="F33">
        <v>2</v>
      </c>
      <c r="G33" s="22" t="str">
        <f t="array" ref="G33">_xlfn.TEXTJOIN("、",TRUE,_xlfn._xlws.FILTER($B$2:$B$200,$C$2:$C$200=E33))</f>
        <v>火打ち石、ろうそく</v>
      </c>
    </row>
    <row r="34" ht="15.75" customHeight="1" spans="1:7">
      <c r="A34" s="25" t="s">
        <v>406</v>
      </c>
      <c r="B34" s="25" t="s">
        <v>206</v>
      </c>
      <c r="C34" s="20" t="s">
        <v>377</v>
      </c>
      <c r="E34" s="21" t="s">
        <v>310</v>
      </c>
      <c r="F34">
        <v>2</v>
      </c>
      <c r="G34" s="22" t="str">
        <f t="array" ref="G34">_xlfn.TEXTJOIN("、",TRUE,_xlfn._xlws.FILTER($B$2:$B$200,$C$2:$C$200=E34))</f>
        <v>火打ち石、ろうそく</v>
      </c>
    </row>
    <row r="35" ht="15.75" customHeight="1" spans="1:7">
      <c r="A35" s="25" t="s">
        <v>406</v>
      </c>
      <c r="B35" s="25" t="s">
        <v>206</v>
      </c>
      <c r="C35" s="20" t="s">
        <v>353</v>
      </c>
      <c r="E35" s="21" t="s">
        <v>357</v>
      </c>
      <c r="F35">
        <v>2</v>
      </c>
      <c r="G35" s="22" t="str">
        <f t="array" ref="G35">_xlfn.TEXTJOIN("、",TRUE,_xlfn._xlws.FILTER($B$2:$B$200,$C$2:$C$200=E35))</f>
        <v>鉄、骨付き肉</v>
      </c>
    </row>
    <row r="36" ht="15.75" customHeight="1" spans="1:7">
      <c r="A36" s="25" t="s">
        <v>406</v>
      </c>
      <c r="B36" s="25" t="s">
        <v>206</v>
      </c>
      <c r="C36" s="20" t="s">
        <v>416</v>
      </c>
      <c r="E36" s="21" t="s">
        <v>378</v>
      </c>
      <c r="F36">
        <v>2</v>
      </c>
      <c r="G36" s="22" t="str">
        <f t="array" ref="G36">_xlfn.TEXTJOIN("、",TRUE,_xlfn._xlws.FILTER($B$2:$B$200,$C$2:$C$200=E36))</f>
        <v>ふさふさの毛、元結</v>
      </c>
    </row>
    <row r="37" ht="15.75" customHeight="1" spans="1:7">
      <c r="A37" s="25" t="s">
        <v>406</v>
      </c>
      <c r="B37" s="25" t="s">
        <v>206</v>
      </c>
      <c r="C37" s="20" t="s">
        <v>373</v>
      </c>
      <c r="E37" s="21" t="s">
        <v>385</v>
      </c>
      <c r="F37">
        <v>2</v>
      </c>
      <c r="G37" s="22" t="str">
        <f t="array" ref="G37">_xlfn.TEXTJOIN("、",TRUE,_xlfn._xlws.FILTER($B$2:$B$200,$C$2:$C$200=E37))</f>
        <v>お米、大豆</v>
      </c>
    </row>
    <row r="38" ht="15.75" customHeight="1" spans="1:7">
      <c r="A38" s="25" t="s">
        <v>406</v>
      </c>
      <c r="B38" s="25" t="s">
        <v>206</v>
      </c>
      <c r="C38" s="20" t="s">
        <v>381</v>
      </c>
      <c r="E38" s="21" t="s">
        <v>457</v>
      </c>
      <c r="F38"/>
      <c r="G38" s="22" vm="1" t="e">
        <f>_xlfn.TEXTJOIN("、",TRUE,_xlfn._xlws.FILTER($B$2:$B$200,$C$2:$C$200=E38))</f>
        <v>#VALUE!</v>
      </c>
    </row>
    <row r="39" ht="15.75" customHeight="1" spans="1:7">
      <c r="A39" s="25" t="s">
        <v>207</v>
      </c>
      <c r="B39" s="25" t="s">
        <v>207</v>
      </c>
      <c r="C39" s="20" t="s">
        <v>319</v>
      </c>
      <c r="E39" s="21" t="s">
        <v>458</v>
      </c>
      <c r="F39">
        <v>138</v>
      </c>
    </row>
    <row r="40" ht="15.75" customHeight="1" spans="1:7">
      <c r="A40" s="25" t="s">
        <v>207</v>
      </c>
      <c r="B40" s="25" t="s">
        <v>207</v>
      </c>
      <c r="C40" s="20" t="s">
        <v>320</v>
      </c>
    </row>
    <row r="41" ht="15.75" customHeight="1" spans="1:7">
      <c r="A41" s="25" t="s">
        <v>207</v>
      </c>
      <c r="B41" s="25" t="s">
        <v>207</v>
      </c>
      <c r="C41" s="20" t="s">
        <v>324</v>
      </c>
    </row>
    <row r="42" ht="15.75" customHeight="1" spans="1:7">
      <c r="A42" s="25" t="s">
        <v>207</v>
      </c>
      <c r="B42" s="25" t="s">
        <v>207</v>
      </c>
      <c r="C42" s="20" t="s">
        <v>426</v>
      </c>
    </row>
    <row r="43" ht="15.75" customHeight="1" spans="1:7">
      <c r="A43" s="25" t="s">
        <v>207</v>
      </c>
      <c r="B43" s="25" t="s">
        <v>207</v>
      </c>
      <c r="C43" s="20" t="s">
        <v>385</v>
      </c>
    </row>
    <row r="44" ht="15.75" customHeight="1" spans="1:7">
      <c r="A44" s="25" t="s">
        <v>207</v>
      </c>
      <c r="B44" s="25" t="s">
        <v>207</v>
      </c>
      <c r="C44" s="20" t="s">
        <v>350</v>
      </c>
    </row>
    <row r="45" ht="15.75" customHeight="1" spans="1:7">
      <c r="A45" s="25" t="s">
        <v>207</v>
      </c>
      <c r="B45" s="25" t="s">
        <v>207</v>
      </c>
      <c r="C45" s="20" t="s">
        <v>427</v>
      </c>
    </row>
    <row r="46" ht="15.75" customHeight="1" spans="1:7">
      <c r="A46" s="25" t="s">
        <v>207</v>
      </c>
      <c r="B46" s="25" t="s">
        <v>207</v>
      </c>
      <c r="C46" s="20" t="s">
        <v>403</v>
      </c>
    </row>
    <row r="47" ht="15.75" customHeight="1" spans="1:7">
      <c r="A47" s="19" t="s">
        <v>428</v>
      </c>
      <c r="B47" s="19" t="s">
        <v>212</v>
      </c>
      <c r="C47" s="20" t="s">
        <v>279</v>
      </c>
    </row>
    <row r="48" ht="15.75" customHeight="1" spans="1:7">
      <c r="A48" s="19" t="s">
        <v>428</v>
      </c>
      <c r="B48" s="19" t="s">
        <v>212</v>
      </c>
      <c r="C48" s="20" t="s">
        <v>302</v>
      </c>
    </row>
    <row r="49" ht="15.75" customHeight="1" spans="1:3">
      <c r="A49" s="19" t="s">
        <v>428</v>
      </c>
      <c r="B49" s="19" t="s">
        <v>212</v>
      </c>
      <c r="C49" s="20" t="s">
        <v>306</v>
      </c>
    </row>
    <row r="50" ht="15.75" customHeight="1" spans="1:3">
      <c r="A50" s="19" t="s">
        <v>428</v>
      </c>
      <c r="B50" s="19" t="s">
        <v>212</v>
      </c>
      <c r="C50" s="20" t="s">
        <v>336</v>
      </c>
    </row>
    <row r="51" ht="15.75" customHeight="1" spans="1:3">
      <c r="A51" s="19" t="s">
        <v>428</v>
      </c>
      <c r="B51" s="19" t="s">
        <v>212</v>
      </c>
      <c r="C51" s="20" t="s">
        <v>290</v>
      </c>
    </row>
    <row r="52" ht="15.75" customHeight="1" spans="1:3">
      <c r="A52" s="19" t="s">
        <v>429</v>
      </c>
      <c r="B52" s="19" t="s">
        <v>217</v>
      </c>
      <c r="C52" s="20" t="s">
        <v>306</v>
      </c>
    </row>
    <row r="53" ht="15.75" customHeight="1" spans="1:3">
      <c r="A53" s="19" t="s">
        <v>429</v>
      </c>
      <c r="B53" s="19" t="s">
        <v>217</v>
      </c>
      <c r="C53" s="20" t="s">
        <v>364</v>
      </c>
    </row>
    <row r="54" ht="15.75" customHeight="1" spans="1:3">
      <c r="A54" s="19" t="s">
        <v>429</v>
      </c>
      <c r="B54" s="19" t="s">
        <v>217</v>
      </c>
      <c r="C54" s="20" t="s">
        <v>363</v>
      </c>
    </row>
    <row r="55" ht="15.75" customHeight="1" spans="1:3">
      <c r="A55" s="19" t="s">
        <v>429</v>
      </c>
      <c r="B55" s="19" t="s">
        <v>217</v>
      </c>
      <c r="C55" s="20" t="s">
        <v>368</v>
      </c>
    </row>
    <row r="56" ht="15.75" customHeight="1" spans="1:3">
      <c r="A56" s="19" t="s">
        <v>429</v>
      </c>
      <c r="B56" s="19" t="s">
        <v>217</v>
      </c>
      <c r="C56" s="20" t="s">
        <v>296</v>
      </c>
    </row>
    <row r="57" ht="15.75" customHeight="1" spans="1:3">
      <c r="A57" s="19" t="s">
        <v>429</v>
      </c>
      <c r="B57" s="19" t="s">
        <v>217</v>
      </c>
      <c r="C57" s="20" t="s">
        <v>416</v>
      </c>
    </row>
    <row r="58" ht="15.75" customHeight="1" spans="1:3">
      <c r="A58" s="25" t="s">
        <v>430</v>
      </c>
      <c r="B58" s="25" t="s">
        <v>219</v>
      </c>
      <c r="C58" s="20" t="s">
        <v>336</v>
      </c>
    </row>
    <row r="59" ht="15.75" customHeight="1" spans="1:3">
      <c r="A59" s="25" t="s">
        <v>430</v>
      </c>
      <c r="B59" s="25" t="s">
        <v>219</v>
      </c>
      <c r="C59" s="20" t="s">
        <v>368</v>
      </c>
    </row>
    <row r="60" ht="15.75" customHeight="1" spans="1:3">
      <c r="A60" s="25" t="s">
        <v>233</v>
      </c>
      <c r="B60" s="25" t="s">
        <v>233</v>
      </c>
      <c r="C60" s="20" t="s">
        <v>431</v>
      </c>
    </row>
    <row r="61" ht="15.75" customHeight="1" spans="1:3">
      <c r="A61" s="25" t="s">
        <v>233</v>
      </c>
      <c r="B61" s="25" t="s">
        <v>233</v>
      </c>
      <c r="C61" s="20" t="s">
        <v>426</v>
      </c>
    </row>
    <row r="62" ht="15.75" customHeight="1" spans="1:3">
      <c r="A62" s="25" t="s">
        <v>233</v>
      </c>
      <c r="B62" s="25" t="s">
        <v>233</v>
      </c>
      <c r="C62" s="20" t="s">
        <v>324</v>
      </c>
    </row>
    <row r="63" ht="15.75" customHeight="1" spans="1:3">
      <c r="A63" s="25" t="s">
        <v>233</v>
      </c>
      <c r="B63" s="25" t="s">
        <v>233</v>
      </c>
      <c r="C63" s="20" t="s">
        <v>279</v>
      </c>
    </row>
    <row r="64" ht="15.75" customHeight="1" spans="1:3">
      <c r="A64" s="25" t="s">
        <v>233</v>
      </c>
      <c r="B64" s="25" t="s">
        <v>233</v>
      </c>
      <c r="C64" s="20" t="s">
        <v>282</v>
      </c>
    </row>
    <row r="65" ht="15.75" customHeight="1" spans="1:3">
      <c r="A65" s="25" t="s">
        <v>233</v>
      </c>
      <c r="B65" s="25" t="s">
        <v>233</v>
      </c>
      <c r="C65" s="20" t="s">
        <v>288</v>
      </c>
    </row>
    <row r="66" ht="15.75" customHeight="1" spans="1:3">
      <c r="A66" s="25" t="s">
        <v>233</v>
      </c>
      <c r="B66" s="25" t="s">
        <v>233</v>
      </c>
      <c r="C66" s="20" t="s">
        <v>349</v>
      </c>
    </row>
    <row r="67" ht="15.75" customHeight="1" spans="1:3">
      <c r="A67" s="25" t="s">
        <v>233</v>
      </c>
      <c r="B67" s="25" t="s">
        <v>233</v>
      </c>
      <c r="C67" s="20" t="s">
        <v>395</v>
      </c>
    </row>
    <row r="68" ht="15.75" customHeight="1" spans="1:3">
      <c r="A68" s="25" t="s">
        <v>233</v>
      </c>
      <c r="B68" s="25" t="s">
        <v>233</v>
      </c>
      <c r="C68" s="20" t="s">
        <v>403</v>
      </c>
    </row>
    <row r="69" ht="15.75" customHeight="1" spans="1:3">
      <c r="A69" s="25" t="s">
        <v>233</v>
      </c>
      <c r="B69" s="25" t="s">
        <v>233</v>
      </c>
      <c r="C69" s="20" t="s">
        <v>353</v>
      </c>
    </row>
    <row r="70" ht="15.75" customHeight="1" spans="1:3">
      <c r="A70" s="25" t="s">
        <v>459</v>
      </c>
      <c r="B70" s="25" t="s">
        <v>237</v>
      </c>
      <c r="C70" s="20" t="s">
        <v>319</v>
      </c>
    </row>
    <row r="71" ht="15.75" customHeight="1" spans="1:3">
      <c r="A71" s="25" t="s">
        <v>459</v>
      </c>
      <c r="B71" s="25" t="s">
        <v>237</v>
      </c>
      <c r="C71" s="20" t="s">
        <v>311</v>
      </c>
    </row>
    <row r="72" ht="15.75" customHeight="1" spans="1:3">
      <c r="A72" s="25" t="s">
        <v>459</v>
      </c>
      <c r="B72" s="25" t="s">
        <v>237</v>
      </c>
      <c r="C72" s="20" t="s">
        <v>315</v>
      </c>
    </row>
    <row r="73" ht="15.75" customHeight="1" spans="1:3">
      <c r="A73" s="25" t="s">
        <v>459</v>
      </c>
      <c r="B73" s="25" t="s">
        <v>237</v>
      </c>
      <c r="C73" s="20" t="s">
        <v>358</v>
      </c>
    </row>
    <row r="74" ht="15.75" customHeight="1" spans="1:3">
      <c r="A74" s="25" t="s">
        <v>459</v>
      </c>
      <c r="B74" s="25" t="s">
        <v>237</v>
      </c>
      <c r="C74" s="20" t="s">
        <v>378</v>
      </c>
    </row>
    <row r="75" ht="15.75" customHeight="1" spans="1:3">
      <c r="A75" s="25" t="s">
        <v>434</v>
      </c>
      <c r="B75" s="25" t="s">
        <v>220</v>
      </c>
      <c r="C75" s="20" t="s">
        <v>403</v>
      </c>
    </row>
    <row r="76" ht="15.75" customHeight="1" spans="1:3">
      <c r="A76" s="25" t="s">
        <v>434</v>
      </c>
      <c r="B76" s="25" t="s">
        <v>220</v>
      </c>
      <c r="C76" s="20" t="s">
        <v>377</v>
      </c>
    </row>
    <row r="77" ht="15.75" customHeight="1" spans="1:3">
      <c r="A77" s="25" t="s">
        <v>434</v>
      </c>
      <c r="B77" s="25" t="s">
        <v>220</v>
      </c>
      <c r="C77" s="20" t="s">
        <v>416</v>
      </c>
    </row>
    <row r="78" ht="15.75" customHeight="1" spans="1:3">
      <c r="A78" s="26" t="s">
        <v>434</v>
      </c>
      <c r="B78" s="26" t="s">
        <v>220</v>
      </c>
      <c r="C78" s="20" t="s">
        <v>381</v>
      </c>
    </row>
    <row r="79" ht="15.75" customHeight="1" spans="1:3">
      <c r="A79" s="25" t="s">
        <v>435</v>
      </c>
      <c r="B79" s="25" t="s">
        <v>223</v>
      </c>
      <c r="C79" s="20" t="s">
        <v>431</v>
      </c>
    </row>
    <row r="80" ht="15.75" customHeight="1" spans="1:3">
      <c r="A80" s="25" t="s">
        <v>435</v>
      </c>
      <c r="B80" s="25" t="s">
        <v>223</v>
      </c>
      <c r="C80" s="20" t="s">
        <v>323</v>
      </c>
    </row>
    <row r="81" ht="15.75" customHeight="1" spans="1:3">
      <c r="A81" s="25" t="s">
        <v>435</v>
      </c>
      <c r="B81" s="25" t="s">
        <v>223</v>
      </c>
      <c r="C81" s="20" t="s">
        <v>320</v>
      </c>
    </row>
    <row r="82" ht="15.75" customHeight="1" spans="1:3">
      <c r="A82" s="25" t="s">
        <v>435</v>
      </c>
      <c r="B82" s="25" t="s">
        <v>223</v>
      </c>
      <c r="C82" s="20" t="s">
        <v>377</v>
      </c>
    </row>
    <row r="83" ht="15.75" customHeight="1" spans="1:3">
      <c r="A83" s="25" t="s">
        <v>436</v>
      </c>
      <c r="B83" s="25" t="s">
        <v>224</v>
      </c>
      <c r="C83" s="20" t="s">
        <v>431</v>
      </c>
    </row>
    <row r="84" ht="15.75" customHeight="1" spans="1:3">
      <c r="A84" s="25" t="s">
        <v>436</v>
      </c>
      <c r="B84" s="25" t="s">
        <v>224</v>
      </c>
      <c r="C84" s="20" t="s">
        <v>426</v>
      </c>
    </row>
    <row r="85" ht="15.75" customHeight="1" spans="1:3">
      <c r="A85" s="25" t="s">
        <v>436</v>
      </c>
      <c r="B85" s="25" t="s">
        <v>224</v>
      </c>
      <c r="C85" s="20" t="s">
        <v>368</v>
      </c>
    </row>
    <row r="86" ht="15.75" customHeight="1" spans="1:3">
      <c r="A86" s="25" t="s">
        <v>436</v>
      </c>
      <c r="B86" s="25" t="s">
        <v>224</v>
      </c>
      <c r="C86" s="20" t="s">
        <v>296</v>
      </c>
    </row>
    <row r="87" ht="15.75" customHeight="1" spans="1:3">
      <c r="A87" s="25" t="s">
        <v>436</v>
      </c>
      <c r="B87" s="25" t="s">
        <v>224</v>
      </c>
      <c r="C87" s="20" t="s">
        <v>377</v>
      </c>
    </row>
    <row r="88" ht="15.75" customHeight="1" spans="1:3">
      <c r="A88" s="25" t="s">
        <v>437</v>
      </c>
      <c r="B88" s="25" t="s">
        <v>229</v>
      </c>
      <c r="C88" s="20" t="s">
        <v>324</v>
      </c>
    </row>
    <row r="89" ht="15.75" customHeight="1" spans="1:3">
      <c r="A89" s="25" t="s">
        <v>437</v>
      </c>
      <c r="B89" s="25" t="s">
        <v>229</v>
      </c>
      <c r="C89" s="20" t="s">
        <v>349</v>
      </c>
    </row>
    <row r="90" ht="15.75" customHeight="1" spans="1:3">
      <c r="A90" s="25" t="s">
        <v>438</v>
      </c>
      <c r="B90" s="25" t="s">
        <v>271</v>
      </c>
      <c r="C90" s="20" t="s">
        <v>395</v>
      </c>
    </row>
    <row r="91" ht="15.75" customHeight="1" spans="1:3">
      <c r="A91" s="25" t="s">
        <v>438</v>
      </c>
      <c r="B91" s="25" t="s">
        <v>271</v>
      </c>
      <c r="C91" s="20" t="s">
        <v>363</v>
      </c>
    </row>
    <row r="92" ht="15.75" customHeight="1" spans="1:3">
      <c r="A92" s="25" t="s">
        <v>438</v>
      </c>
      <c r="B92" s="25" t="s">
        <v>271</v>
      </c>
      <c r="C92" s="20" t="s">
        <v>368</v>
      </c>
    </row>
    <row r="93" ht="15.75" customHeight="1" spans="1:3">
      <c r="A93" s="25" t="s">
        <v>438</v>
      </c>
      <c r="B93" s="25" t="s">
        <v>271</v>
      </c>
      <c r="C93" s="20" t="s">
        <v>427</v>
      </c>
    </row>
    <row r="94" ht="15.75" customHeight="1" spans="1:3">
      <c r="A94" s="25" t="s">
        <v>438</v>
      </c>
      <c r="B94" s="25" t="s">
        <v>271</v>
      </c>
      <c r="C94" s="20" t="s">
        <v>403</v>
      </c>
    </row>
    <row r="95" ht="15.75" customHeight="1" spans="1:3">
      <c r="A95" s="25" t="s">
        <v>260</v>
      </c>
      <c r="B95" s="25" t="s">
        <v>260</v>
      </c>
      <c r="C95" s="20" t="s">
        <v>427</v>
      </c>
    </row>
    <row r="96" ht="15.75" customHeight="1" spans="1:3">
      <c r="A96" s="25" t="s">
        <v>260</v>
      </c>
      <c r="B96" s="25" t="s">
        <v>260</v>
      </c>
      <c r="C96" s="20" t="s">
        <v>290</v>
      </c>
    </row>
    <row r="97" ht="15.75" customHeight="1" spans="1:3">
      <c r="A97" s="25" t="s">
        <v>260</v>
      </c>
      <c r="B97" s="25" t="s">
        <v>260</v>
      </c>
      <c r="C97" s="27" t="s">
        <v>399</v>
      </c>
    </row>
    <row r="98" ht="15.75" customHeight="1" spans="1:3">
      <c r="A98" s="25" t="s">
        <v>439</v>
      </c>
      <c r="B98" s="25" t="s">
        <v>240</v>
      </c>
      <c r="C98" s="27" t="s">
        <v>315</v>
      </c>
    </row>
    <row r="99" ht="15.75" customHeight="1" spans="1:3">
      <c r="A99" s="25" t="s">
        <v>439</v>
      </c>
      <c r="B99" s="26" t="s">
        <v>240</v>
      </c>
      <c r="C99" s="20" t="s">
        <v>324</v>
      </c>
    </row>
    <row r="100" ht="15.75" customHeight="1" spans="1:3">
      <c r="A100" s="25" t="s">
        <v>439</v>
      </c>
      <c r="B100" s="25" t="s">
        <v>240</v>
      </c>
      <c r="C100" s="20" t="s">
        <v>349</v>
      </c>
    </row>
    <row r="101" ht="15.75" customHeight="1" spans="1:3">
      <c r="A101" s="25" t="s">
        <v>439</v>
      </c>
      <c r="B101" s="25" t="s">
        <v>240</v>
      </c>
      <c r="C101" s="20" t="s">
        <v>399</v>
      </c>
    </row>
    <row r="102" ht="15.75" customHeight="1" spans="1:3">
      <c r="A102" s="19" t="s">
        <v>441</v>
      </c>
      <c r="B102" s="19" t="s">
        <v>259</v>
      </c>
      <c r="C102" s="20" t="s">
        <v>302</v>
      </c>
    </row>
    <row r="103" ht="15.75" customHeight="1" spans="1:3">
      <c r="A103" s="19" t="s">
        <v>441</v>
      </c>
      <c r="B103" s="19" t="s">
        <v>259</v>
      </c>
      <c r="C103" s="20" t="s">
        <v>364</v>
      </c>
    </row>
    <row r="104" ht="15.75" customHeight="1" spans="1:3">
      <c r="A104" s="19" t="s">
        <v>441</v>
      </c>
      <c r="B104" s="19" t="s">
        <v>259</v>
      </c>
      <c r="C104" s="20" t="s">
        <v>399</v>
      </c>
    </row>
    <row r="105" ht="15.75" customHeight="1" spans="1:3">
      <c r="A105" s="25" t="s">
        <v>442</v>
      </c>
      <c r="B105" s="25" t="s">
        <v>460</v>
      </c>
      <c r="C105" s="20" t="s">
        <v>403</v>
      </c>
    </row>
    <row r="106" ht="15.75" customHeight="1" spans="1:3">
      <c r="A106" s="25" t="s">
        <v>442</v>
      </c>
      <c r="B106" s="25" t="s">
        <v>460</v>
      </c>
      <c r="C106" s="20" t="s">
        <v>296</v>
      </c>
    </row>
    <row r="107" ht="15.75" customHeight="1" spans="1:3">
      <c r="A107" s="25" t="s">
        <v>442</v>
      </c>
      <c r="B107" s="25" t="s">
        <v>460</v>
      </c>
      <c r="C107" s="20" t="s">
        <v>416</v>
      </c>
    </row>
    <row r="108" ht="15.75" customHeight="1" spans="1:3">
      <c r="A108" s="25" t="s">
        <v>444</v>
      </c>
      <c r="B108" s="25" t="s">
        <v>263</v>
      </c>
      <c r="C108" s="20" t="s">
        <v>395</v>
      </c>
    </row>
    <row r="109" ht="15.75" customHeight="1" spans="1:3">
      <c r="A109" s="25" t="s">
        <v>444</v>
      </c>
      <c r="B109" s="25" t="s">
        <v>263</v>
      </c>
      <c r="C109" s="20" t="s">
        <v>403</v>
      </c>
    </row>
    <row r="110" ht="15.75" customHeight="1" spans="1:3">
      <c r="A110" s="25" t="s">
        <v>444</v>
      </c>
      <c r="B110" s="25" t="s">
        <v>263</v>
      </c>
      <c r="C110" s="20" t="s">
        <v>353</v>
      </c>
    </row>
    <row r="111" ht="15.75" customHeight="1" spans="1:3">
      <c r="A111" s="25" t="s">
        <v>444</v>
      </c>
      <c r="B111" s="25" t="s">
        <v>263</v>
      </c>
      <c r="C111" s="20" t="s">
        <v>416</v>
      </c>
    </row>
    <row r="112" ht="15.75" customHeight="1" spans="1:3">
      <c r="A112" s="19" t="s">
        <v>254</v>
      </c>
      <c r="B112" s="19" t="s">
        <v>254</v>
      </c>
      <c r="C112" s="20" t="s">
        <v>323</v>
      </c>
    </row>
    <row r="113" ht="15.75" customHeight="1" spans="1:3">
      <c r="A113" s="19" t="s">
        <v>254</v>
      </c>
      <c r="B113" s="19" t="s">
        <v>254</v>
      </c>
      <c r="C113" s="20" t="s">
        <v>311</v>
      </c>
    </row>
    <row r="114" ht="15.75" customHeight="1" spans="1:3">
      <c r="A114" s="19" t="s">
        <v>254</v>
      </c>
      <c r="B114" s="19" t="s">
        <v>254</v>
      </c>
      <c r="C114" s="20" t="s">
        <v>315</v>
      </c>
    </row>
    <row r="115" ht="15.75" customHeight="1" spans="1:3">
      <c r="A115" s="19" t="s">
        <v>254</v>
      </c>
      <c r="B115" s="19" t="s">
        <v>254</v>
      </c>
      <c r="C115" s="20" t="s">
        <v>427</v>
      </c>
    </row>
    <row r="116" ht="15.75" customHeight="1" spans="1:3">
      <c r="A116" s="25" t="s">
        <v>251</v>
      </c>
      <c r="B116" s="25" t="s">
        <v>251</v>
      </c>
      <c r="C116" s="20" t="s">
        <v>282</v>
      </c>
    </row>
    <row r="117" ht="15.75" customHeight="1" spans="1:3">
      <c r="A117" s="25" t="s">
        <v>251</v>
      </c>
      <c r="B117" s="25" t="s">
        <v>251</v>
      </c>
      <c r="C117" s="20" t="s">
        <v>363</v>
      </c>
    </row>
    <row r="118" ht="15.75" customHeight="1" spans="1:3">
      <c r="A118" s="26" t="s">
        <v>251</v>
      </c>
      <c r="B118" s="26" t="s">
        <v>251</v>
      </c>
      <c r="C118" s="20" t="s">
        <v>373</v>
      </c>
    </row>
    <row r="119" ht="15.75" customHeight="1" spans="1:3">
      <c r="A119" s="28" t="s">
        <v>445</v>
      </c>
      <c r="B119" s="26" t="s">
        <v>446</v>
      </c>
      <c r="C119" s="20" t="s">
        <v>363</v>
      </c>
    </row>
    <row r="120" ht="15.75" customHeight="1" spans="1:3">
      <c r="A120" s="26" t="s">
        <v>445</v>
      </c>
      <c r="B120" s="26" t="s">
        <v>446</v>
      </c>
      <c r="C120" s="27" t="s">
        <v>373</v>
      </c>
    </row>
    <row r="121" ht="15.75" customHeight="1" spans="1:3">
      <c r="A121" s="28" t="s">
        <v>447</v>
      </c>
      <c r="B121" s="26" t="s">
        <v>246</v>
      </c>
      <c r="C121" s="27" t="s">
        <v>306</v>
      </c>
    </row>
    <row r="122" ht="15.75" customHeight="1" spans="1:3">
      <c r="A122" s="29" t="s">
        <v>447</v>
      </c>
      <c r="B122" s="29" t="s">
        <v>246</v>
      </c>
      <c r="C122" s="30" t="s">
        <v>364</v>
      </c>
    </row>
    <row r="123" ht="15.75" customHeight="1" spans="1:3">
      <c r="A123" s="29" t="s">
        <v>447</v>
      </c>
      <c r="B123" s="29" t="s">
        <v>246</v>
      </c>
      <c r="C123" s="27" t="s">
        <v>310</v>
      </c>
    </row>
    <row r="124" ht="15.75" customHeight="1" spans="1:3">
      <c r="A124" s="29" t="s">
        <v>447</v>
      </c>
      <c r="B124" s="29" t="s">
        <v>246</v>
      </c>
      <c r="C124" s="27" t="s">
        <v>314</v>
      </c>
    </row>
    <row r="125" ht="15.75" customHeight="1" spans="1:3">
      <c r="A125" s="29" t="s">
        <v>448</v>
      </c>
      <c r="B125" s="29" t="s">
        <v>449</v>
      </c>
      <c r="C125" s="27" t="s">
        <v>319</v>
      </c>
    </row>
    <row r="126" ht="15.75" customHeight="1" spans="1:3">
      <c r="A126" s="26" t="s">
        <v>448</v>
      </c>
      <c r="B126" s="29" t="s">
        <v>449</v>
      </c>
      <c r="C126" s="27" t="s">
        <v>311</v>
      </c>
    </row>
    <row r="127" ht="15.75" customHeight="1" spans="1:3">
      <c r="A127" s="26" t="s">
        <v>448</v>
      </c>
      <c r="B127" s="29" t="s">
        <v>449</v>
      </c>
      <c r="C127" s="27" t="s">
        <v>357</v>
      </c>
    </row>
    <row r="128" ht="15.75" customHeight="1" spans="1:3">
      <c r="A128" s="26" t="s">
        <v>448</v>
      </c>
      <c r="B128" s="29" t="s">
        <v>449</v>
      </c>
      <c r="C128" s="27" t="s">
        <v>358</v>
      </c>
    </row>
    <row r="129" ht="15.75" customHeight="1" spans="1:3">
      <c r="A129" s="26" t="s">
        <v>450</v>
      </c>
      <c r="B129" s="26" t="s">
        <v>252</v>
      </c>
      <c r="C129" s="27" t="s">
        <v>279</v>
      </c>
    </row>
    <row r="130" ht="15.75" customHeight="1" spans="1:3">
      <c r="A130" s="26" t="s">
        <v>450</v>
      </c>
      <c r="B130" s="26" t="s">
        <v>252</v>
      </c>
      <c r="C130" s="27" t="s">
        <v>282</v>
      </c>
    </row>
    <row r="131" ht="15.75" customHeight="1" spans="1:3">
      <c r="A131" s="26" t="s">
        <v>450</v>
      </c>
      <c r="B131" s="26" t="s">
        <v>252</v>
      </c>
      <c r="C131" s="27" t="s">
        <v>288</v>
      </c>
    </row>
    <row r="132" ht="15.75" customHeight="1" spans="1:3">
      <c r="A132" s="26" t="s">
        <v>450</v>
      </c>
      <c r="B132" s="26" t="s">
        <v>252</v>
      </c>
      <c r="C132" s="27" t="s">
        <v>350</v>
      </c>
    </row>
    <row r="133" ht="15.75" customHeight="1" spans="1:3">
      <c r="A133" s="26" t="s">
        <v>450</v>
      </c>
      <c r="B133" s="26" t="s">
        <v>252</v>
      </c>
      <c r="C133" s="27" t="s">
        <v>364</v>
      </c>
    </row>
    <row r="134" ht="15.75" customHeight="1" spans="1:3">
      <c r="A134" s="26" t="s">
        <v>450</v>
      </c>
      <c r="B134" s="26" t="s">
        <v>252</v>
      </c>
      <c r="C134" s="27" t="s">
        <v>377</v>
      </c>
    </row>
    <row r="135" ht="15.75" customHeight="1" spans="1:3">
      <c r="A135" s="26" t="s">
        <v>451</v>
      </c>
      <c r="B135" s="26" t="s">
        <v>253</v>
      </c>
      <c r="C135" s="27" t="s">
        <v>319</v>
      </c>
    </row>
    <row r="136" ht="15.75" customHeight="1" spans="1:3">
      <c r="A136" s="26" t="s">
        <v>451</v>
      </c>
      <c r="B136" s="26" t="s">
        <v>253</v>
      </c>
      <c r="C136" s="27" t="s">
        <v>320</v>
      </c>
    </row>
    <row r="137" ht="15.75" customHeight="1" spans="1:3">
      <c r="A137" s="26" t="s">
        <v>451</v>
      </c>
      <c r="B137" s="26" t="s">
        <v>253</v>
      </c>
      <c r="C137" s="27" t="s">
        <v>350</v>
      </c>
    </row>
    <row r="138" ht="15.75" customHeight="1" spans="1:3">
      <c r="A138" s="26" t="s">
        <v>452</v>
      </c>
      <c r="B138" s="26" t="s">
        <v>453</v>
      </c>
      <c r="C138" s="27" t="s">
        <v>378</v>
      </c>
    </row>
    <row r="139" ht="15.75" customHeight="1" spans="1:3">
      <c r="A139" s="26" t="s">
        <v>454</v>
      </c>
      <c r="B139" s="26" t="s">
        <v>454</v>
      </c>
      <c r="C139" s="31" t="s">
        <v>381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其他工具"/>
  <dimension ref="A2:H11"/>
  <sheetViews>
    <sheetView workbookViewId="0">
      <selection activeCell="A1" sqref="A1"/>
    </sheetView>
  </sheetViews>
  <sheetFormatPr defaultColWidth="14" defaultRowHeight="18" customHeight="1" outlineLevelCol="7"/>
  <cols>
    <col min="1" max="1" width="13.6944444444444" customWidth="1"/>
    <col min="2" max="2" width="40.7777777777778" customWidth="1"/>
  </cols>
  <sheetData>
    <row r="2" ht="14.4" spans="1:8">
      <c r="A2" t="s">
        <v>461</v>
      </c>
      <c r="B2" t="s">
        <v>462</v>
      </c>
    </row>
    <row r="3" ht="13.8" spans="1:8">
      <c r="A3" s="10"/>
      <c r="B3" s="11"/>
    </row>
    <row r="4" ht="57.6" spans="1:8">
      <c r="A4" s="10" t="s">
        <v>463</v>
      </c>
      <c r="B4" s="11" t="s">
        <v>464</v>
      </c>
      <c r="C4" t="s">
        <v>465</v>
      </c>
      <c r="G4" t="s">
        <v>466</v>
      </c>
      <c r="H4" t="s">
        <v>467</v>
      </c>
    </row>
    <row r="5" ht="14.4" spans="1:8">
      <c r="A5" s="10" t="s">
        <v>468</v>
      </c>
      <c r="B5" s="12" t="s">
        <v>469</v>
      </c>
    </row>
    <row r="6" ht="14.4" spans="1:8">
      <c r="B6" s="12" t="s">
        <v>470</v>
      </c>
    </row>
    <row r="7" ht="13.8" spans="1:8">
      <c r="A7" s="10"/>
    </row>
    <row r="8" ht="27.6" spans="1:8">
      <c r="A8" s="10" t="s">
        <v>471</v>
      </c>
      <c r="B8" t="s">
        <v>472</v>
      </c>
    </row>
    <row r="9" ht="99.75" customHeight="1" spans="1:8">
      <c r="A9" s="10" t="s">
        <v>473</v>
      </c>
      <c r="B9" t="s">
        <v>474</v>
      </c>
      <c r="G9" t="s">
        <v>475</v>
      </c>
    </row>
    <row r="10" ht="47.25" customHeight="1" spans="1:8">
      <c r="A10" s="11" t="s">
        <v>476</v>
      </c>
      <c r="B10" s="11" t="s">
        <v>477</v>
      </c>
      <c r="C10" s="13" t="s">
        <v>478</v>
      </c>
      <c r="D10" s="13" t="s">
        <v>479</v>
      </c>
      <c r="E10" s="13" t="s">
        <v>480</v>
      </c>
      <c r="F10" s="13"/>
      <c r="G10" t="s">
        <v>481</v>
      </c>
    </row>
    <row r="11" ht="57" customHeight="1" spans="1:8">
      <c r="C11" s="13" t="s">
        <v>482</v>
      </c>
      <c r="D11" s="13" t="s">
        <v>483</v>
      </c>
      <c r="E11" s="13" t="s">
        <v>484</v>
      </c>
      <c r="F11" s="14"/>
    </row>
  </sheetData>
  <mergeCells count="3">
    <mergeCell ref="A5:A6"/>
    <mergeCell ref="A10:A11"/>
    <mergeCell ref="B10:B11"/>
  </mergeCells>
  <hyperlinks>
    <hyperlink ref="B2" r:id="rId1" display="https://sotosakiyuuko.github.io/pazugiri-calculator/"/>
    <hyperlink ref="B4" r:id="rId2" display="刀剑消消乐角色奥义及绘马特效 那个角色预览bug怎么还... https://xhslink.cn/o/4IKvakTtmP4 &#10;先复制一下，再到【小红书】打开查看笔记。"/>
    <hyperlink ref="B5" r:id="rId3" display="【搬运】刀剑乱舞消消乐材料掉落规律 上推特发现有yhm... https://xhslink.cn/o/8iMa8Q9jG2g &#10;拷走文字，去【小红书】探索这篇笔记~"/>
    <hyperlink ref="B6" r:id="rId4" display="我发现这关刷资源好用 2-26这是一次性关卡，掉落物很... https://xhslink.cn/o/5O52f1ikM3k &#10;带走口令，来【小红书】发现精彩~"/>
    <hyperlink ref="B8" r:id="rId5" display="https://airrodsushi.wpcomstaging.com/自用消消樂素材存檔/"/>
    <hyperlink ref="B9" r:id="rId6" display="https://haruhito-shio.github.io/touken-check/?v=1"/>
    <hyperlink ref="B10" r:id="rId7" display="https://haruhito-shio.github.io/touken-puzzle-tool/&#10;碎碎念：希望后续格式不要大改吧（&#10;数据已更新至9.30表格版本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留言"/>
  <dimension ref="A1:H38"/>
  <sheetViews>
    <sheetView workbookViewId="0">
      <selection activeCell="A1" sqref="A1:H1"/>
    </sheetView>
  </sheetViews>
  <sheetFormatPr defaultColWidth="14" defaultRowHeight="18" customHeight="1" outlineLevelCol="7"/>
  <cols>
    <col min="8" max="8" width="20.7222222222222" customWidth="1"/>
  </cols>
  <sheetData>
    <row r="1" customHeight="1" spans="1:6">
      <c r="A1" s="5" t="s">
        <v>485</v>
      </c>
    </row>
    <row r="2" customHeight="1" spans="1:6">
      <c r="A2" s="5" t="s">
        <v>486</v>
      </c>
    </row>
    <row r="3" customHeight="1" spans="1:6">
      <c r="A3" s="5" t="s">
        <v>487</v>
      </c>
    </row>
    <row r="4" customHeight="1" spans="1:6">
      <c r="A4" s="5" t="s">
        <v>488</v>
      </c>
    </row>
    <row r="5" customHeight="1" spans="1:6">
      <c r="A5" s="5"/>
    </row>
    <row r="7" s="1" customFormat="1" customHeight="1" spans="1:6">
      <c r="A7" s="6" t="s">
        <v>57</v>
      </c>
      <c r="B7" s="1" t="s">
        <v>489</v>
      </c>
    </row>
    <row r="8" s="2" customFormat="1" customHeight="1" spans="1:6">
      <c r="B8" s="7" t="s">
        <v>490</v>
      </c>
      <c r="F8" s="7" t="s">
        <v>491</v>
      </c>
    </row>
    <row r="9" s="3" customFormat="1" customHeight="1" spans="1:6">
      <c r="B9" s="8" t="s">
        <v>492</v>
      </c>
      <c r="F9" s="9" t="s">
        <v>493</v>
      </c>
    </row>
    <row r="10" s="2" customFormat="1" customHeight="1" spans="1:6">
      <c r="B10" s="7" t="s">
        <v>494</v>
      </c>
    </row>
    <row r="11" s="1" customFormat="1" customHeight="1" spans="1:6">
      <c r="B11" s="1" t="s">
        <v>495</v>
      </c>
    </row>
    <row r="13" s="4" customFormat="1" customHeight="1" spans="1:6">
      <c r="A13" s="4" t="s">
        <v>496</v>
      </c>
    </row>
    <row r="14" s="4" customFormat="1" customHeight="1" spans="1:6">
      <c r="A14" s="4" t="s">
        <v>497</v>
      </c>
    </row>
    <row r="15" s="4" customFormat="1" customHeight="1" spans="1:6">
      <c r="A15" s="4" t="s">
        <v>498</v>
      </c>
    </row>
    <row r="17" customHeight="1" spans="1:1">
      <c r="A17" t="s">
        <v>499</v>
      </c>
    </row>
    <row r="18" customHeight="1" spans="1:1">
      <c r="A18" t="s">
        <v>500</v>
      </c>
    </row>
    <row r="19" customHeight="1" spans="1:1">
      <c r="A19" t="s">
        <v>501</v>
      </c>
    </row>
    <row r="20" customHeight="1" spans="1:1">
      <c r="A20" t="s">
        <v>502</v>
      </c>
    </row>
    <row r="21" customHeight="1" spans="1:1">
      <c r="A21" t="s">
        <v>503</v>
      </c>
    </row>
    <row r="22" customHeight="1" spans="1:1">
      <c r="A22" t="s">
        <v>504</v>
      </c>
    </row>
    <row r="23" customHeight="1" spans="1:1">
      <c r="A23" t="s">
        <v>505</v>
      </c>
    </row>
    <row r="26" customHeight="1" spans="1:1">
      <c r="A26" t="s">
        <v>506</v>
      </c>
    </row>
    <row r="27" customHeight="1" spans="1:1">
      <c r="A27" t="s">
        <v>507</v>
      </c>
    </row>
    <row r="28" customHeight="1" spans="1:1">
      <c r="A28" t="s">
        <v>508</v>
      </c>
    </row>
    <row r="29" customHeight="1" spans="1:1">
      <c r="A29" t="s">
        <v>509</v>
      </c>
    </row>
    <row r="31" customHeight="1" spans="1:1">
      <c r="A31" t="s">
        <v>510</v>
      </c>
    </row>
    <row r="32" customHeight="1" spans="1:1">
      <c r="A32" t="s">
        <v>511</v>
      </c>
    </row>
    <row r="35" customHeight="1" spans="1:1">
      <c r="A35" t="s">
        <v>512</v>
      </c>
    </row>
    <row r="36" customHeight="1" spans="1:1">
      <c r="A36" t="s">
        <v>513</v>
      </c>
    </row>
    <row r="38" customHeight="1" spans="1:1">
      <c r="A38" t="s">
        <v>514</v>
      </c>
    </row>
  </sheetData>
  <mergeCells count="6">
    <mergeCell ref="A1:H1"/>
    <mergeCell ref="A2:H2"/>
    <mergeCell ref="A3:H3"/>
    <mergeCell ref="A4:H4"/>
    <mergeCell ref="A31:F31"/>
    <mergeCell ref="A7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刀男所需材料</vt:lpstr>
      <vt:lpstr>材料合成</vt:lpstr>
      <vt:lpstr>材料来源</vt:lpstr>
      <vt:lpstr>关卡统计（透视表用）</vt:lpstr>
      <vt:lpstr>其他工具</vt:lpstr>
      <vt:lpstr>留言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ㅤᅠㅤㅤㅤㅤ</cp:lastModifiedBy>
  <dcterms:created xsi:type="dcterms:W3CDTF">2026-10-01T15:02:00Z</dcterms:created>
  <dcterms:modified xsi:type="dcterms:W3CDTF">2026-10-01T07:22:59Z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19E89B5A005F4D44866B3FB6670AB9A8_12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