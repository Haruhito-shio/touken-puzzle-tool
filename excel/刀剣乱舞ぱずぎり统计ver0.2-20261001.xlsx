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xl/comments1.xml" ContentType="application/vnd.openxmlformats-officedocument.spreadsheetml.comments+xml"/>
  <Override PartName="/xl/worksheets/sheet1.xml" ContentType="application/vnd.openxmlformats-officedocument.spreadsheetml.worksheet+xml"/>
  <Override PartName="/xl/pivotTables/pivotTable1.xml" ContentType="application/vnd.openxmlformats-officedocument.spreadsheetml.pivotTable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worksheets/sheet3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threadedComments/threadedComment1.xml" ContentType="application/vnd.ms-excel.threadedcomments+xml"/>
  <Override PartName="/xl/sharedStrings.xml" ContentType="application/vnd.openxmlformats-officedocument.spreadsheetml.sharedStrings+xml"/>
  <Override PartName="/xl/worksheets/sheet4.xml" ContentType="application/vnd.openxmlformats-officedocument.spreadsheetml.worksheet+xml"/>
  <Override PartName="/xl/workbook.xml" ContentType="application/vnd.openxmlformats-officedocument.spreadsheetml.sheet.main+xml"/>
  <Override PartName="/xl/persons/person.xml" ContentType="application/vnd.ms-excel.person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docProps/app.xml" ContentType="application/vnd.openxmlformats-officedocument.extended-properties+xml"/>
  <Override PartName="/xl/pivotCache/pivotCacheRecords1.xml" ContentType="application/vnd.openxmlformats-officedocument.spreadsheetml.pivotCacheRecords+xml"/>
  <Override PartName="/docProps/core.xml" ContentType="application/vnd.openxmlformats-package.core-properties+xml"/>
</Types>
</file>

<file path=_rels/.rels><?xml version="1.0" encoding="UTF-8" standalone="yes"?><Relationships xmlns="http://schemas.openxmlformats.org/package/2006/relationships"><Relationship Id="rId2" Type="http://schemas.openxmlformats.org/officeDocument/2006/relationships/extended-properties" Target="docProps/app.xml" /><Relationship Id="rId0" Type="http://schemas.openxmlformats.org/officeDocument/2006/relationships/officeDocument" Target="xl/workbook.xml" /><Relationship Id="rId1" Type="http://schemas.openxmlformats.org/package/2006/relationships/metadata/core-properties" Target="docProps/core.xml" /></Relationships>
</file>

<file path=xl/workbook.xml><?xml version="1.0" encoding="utf-8"?>
<workbook xmlns:x15ac="http://schemas.microsoft.com/office/spreadsheetml/2010/11/ac" xmlns="http://schemas.openxmlformats.org/spreadsheetml/2006/main" xmlns:r="http://schemas.openxmlformats.org/officeDocument/2006/relationships" xmlns:mc="http://schemas.openxmlformats.org/markup-compatibility/2006" mc:Ignorable="x15ac">
  <workbookPr defaultThemeVersion="166925"/>
  <x15ac:absPath url="G:\OneDrive\Desktop\"/>
  <bookViews>
    <workbookView activeTab="0"/>
  </bookViews>
  <sheets>
    <sheet name="刀男所需材料" sheetId="1" r:id="rId5"/>
    <sheet name="材料合成" sheetId="2" r:id="rId6"/>
    <sheet name="材料来源" sheetId="3" r:id="rId7"/>
    <sheet name="关卡统计（透视表用）" sheetId="4" r:id="rId8"/>
    <sheet name="其他工具" sheetId="5" r:id="rId9"/>
    <sheet name="留言" sheetId="6" r:id="rId10"/>
  </sheets>
  <calcPr calcId="191029"/>
  <pivotCaches>
    <pivotCache cacheId="932" r:id="rId4"/>
  </pivotCaches>
</workbook>
</file>

<file path=xl/comments1.xml><?xml version="1.0" encoding="utf-8"?>
<comments xmlns="http://schemas.openxmlformats.org/spreadsheetml/2006/main">
  <authors>
    <author>tc={24C7EEB1-FC2D-4FD7-8DFF-E46A91AD309F}</author>
    <author>tc={EE61B143-6D1D-4CE9-BA11-530BFA21F89D}</author>
    <author>tc={01CDEECD-B85C-44A1-9547-FADF19453598}</author>
    <author>tc={BD47ADB0-A156-4BFB-9468-06705A2BEEED}</author>
  </authors>
  <commentList>
    <comment ref="G3" authorId="0">
      <text>
        <r>
          <t>水几乎必掉</t>
        </r>
      </text>
    </comment>
    <comment ref="E12" authorId="1">
      <text>
        <r>
          <t>piya：不要在1-17刷鬼角……我刷到了80多的水，0个鬼角掉落。不过稳定掉水+豆，各自有俩的概率很高</t>
        </r>
      </text>
    </comment>
    <comment ref="A2" authorId="2">
      <text>
        <r>
          <t>敌人是螃蟹的关卡会更容易掉落，乱舞事件中击败确定掉落</t>
        </r>
      </text>
    </comment>
    <comment ref="A52" authorId="3">
      <text>
        <r>
          <t>敌人会生成石头的关卡，击破石头确定掉落</t>
        </r>
      </text>
    </comment>
  </commentList>
</comments>
</file>

<file path=xl/sharedStrings.xml><?xml version="1.0" encoding="utf-8"?>
<sst xmlns="http://schemas.openxmlformats.org/spreadsheetml/2006/main" count="645" uniqueCount="645">
  <si>
    <t/>
  </si>
  <si>
    <t>类型</t>
  </si>
  <si>
    <t>刀刀</t>
  </si>
  <si>
    <t>稀有度</t>
  </si>
  <si>
    <t>进阶</t>
  </si>
  <si>
    <t>材料</t>
  </si>
  <si>
    <t>贡献者</t>
  </si>
  <si>
    <t>合成bug：已有的高级素材在升级合成界面不计入统计，必须一次性用足够的一级素材合成足够的高级素材</t>
  </si>
  <si>
    <t>（例：需求纸10，已有纸8的合成素材和纸5，合成后会变成8/10和5/10，需要刷够纸10的素材合成才能达成10/10）</t>
  </si>
  <si>
    <t>by小红书@Miyu</t>
  </si>
  <si>
    <t>大
太
刀</t>
  </si>
  <si>
    <t>太郎太刀</t>
  </si>
  <si>
    <t>普</t>
  </si>
  <si>
    <t>10-&gt;20</t>
  </si>
  <si>
    <t>叶子x2</t>
  </si>
  <si>
    <t>大豆x2</t>
  </si>
  <si>
    <t>神秘的审神者</t>
  </si>
  <si>
    <t>20-&gt;30</t>
  </si>
  <si>
    <t>臼与杵x2</t>
  </si>
  <si>
    <t>树枝x2</t>
  </si>
  <si>
    <t>打火石x2</t>
  </si>
  <si>
    <t>年下阴角激推</t>
  </si>
  <si>
    <t>30-&gt;35</t>
  </si>
  <si>
    <t>黄色颜料x1</t>
  </si>
  <si>
    <t>茶碗×2</t>
  </si>
  <si>
    <t>围棋x2</t>
  </si>
  <si>
    <t>味增汤x2</t>
  </si>
  <si>
    <t>锄头×2</t>
  </si>
  <si>
    <t>大太刀的心得x1</t>
  </si>
  <si>
    <t>彩</t>
  </si>
  <si>
    <t>桃子x1</t>
  </si>
  <si>
    <t>大豆x1</t>
  </si>
  <si>
    <t>lotus</t>
  </si>
  <si>
    <t>花蜜x2</t>
  </si>
  <si>
    <t>木材x2</t>
  </si>
  <si>
    <t>茶碗x4</t>
  </si>
  <si>
    <t>锄头x2</t>
  </si>
  <si>
    <t>金乌</t>
  </si>
  <si>
    <t>次郎太刀</t>
  </si>
  <si>
    <t>水x2</t>
  </si>
  <si>
    <t>文州</t>
  </si>
  <si>
    <t>纸x2</t>
  </si>
  <si>
    <t>蓬松的毛x2</t>
  </si>
  <si>
    <t>花x2</t>
  </si>
  <si>
    <t>红色颜料x1</t>
  </si>
  <si>
    <t>双六x2</t>
  </si>
  <si>
    <t>花札x2</t>
  </si>
  <si>
    <t>味增汤</t>
  </si>
  <si>
    <t>piya</t>
  </si>
  <si>
    <t>石切丸</t>
  </si>
  <si>
    <t>rining</t>
  </si>
  <si>
    <t>麦x2</t>
  </si>
  <si>
    <t>木材X2</t>
  </si>
  <si>
    <t>蓝色颜料×1</t>
  </si>
  <si>
    <t>书写道具×2</t>
  </si>
  <si>
    <t>围棋×2</t>
  </si>
  <si>
    <t>双色牡丹饼×2</t>
  </si>
  <si>
    <t>大太刀的心得×1</t>
  </si>
  <si>
    <t>求求你不要再熬夜了</t>
  </si>
  <si>
    <t>萤丸</t>
  </si>
  <si>
    <t>风骅</t>
  </si>
  <si>
    <t>大米</t>
  </si>
  <si>
    <t>黄油面包刀</t>
  </si>
  <si>
    <t>蓝色颜料x1</t>
  </si>
  <si>
    <t>算盘x2</t>
  </si>
  <si>
    <t>太
刀</t>
  </si>
  <si>
    <t>三日月宗近</t>
  </si>
  <si>
    <t>花x4</t>
  </si>
  <si>
    <t>茶碗x2</t>
  </si>
  <si>
    <t>双色牡丹饼x2</t>
  </si>
  <si>
    <t>太刀的心得x1</t>
  </si>
  <si>
    <t>水x1</t>
  </si>
  <si>
    <t>方块硫酸银</t>
  </si>
  <si>
    <t>纸×2</t>
  </si>
  <si>
    <t>水×4</t>
  </si>
  <si>
    <t>骰子×4</t>
  </si>
  <si>
    <t>花×2</t>
  </si>
  <si>
    <t>yukino</t>
  </si>
  <si>
    <t>团子x2</t>
  </si>
  <si>
    <t>yui（歇菜版）</t>
  </si>
  <si>
    <t>小狐丸</t>
  </si>
  <si>
    <t>水x4</t>
  </si>
  <si>
    <t>想有一个糖罐</t>
  </si>
  <si>
    <t>一期一振</t>
  </si>
  <si>
    <t>黄色颜料×1</t>
  </si>
  <si>
    <t>双六×2</t>
  </si>
  <si>
    <t>花札×2</t>
  </si>
  <si>
    <t>算盘×2</t>
  </si>
  <si>
    <t>太刀的心得×1</t>
  </si>
  <si>
    <t>带骨肉×1</t>
  </si>
  <si>
    <t>蓬松的毛×1</t>
  </si>
  <si>
    <t>mo陌mo</t>
  </si>
  <si>
    <t>大豆x4</t>
  </si>
  <si>
    <t>木材x4</t>
  </si>
  <si>
    <t>烛台切光忠</t>
  </si>
  <si>
    <t>莺丸</t>
  </si>
  <si>
    <t>面包x2</t>
  </si>
  <si>
    <t>鹤丸国永</t>
  </si>
  <si>
    <t>蓬松的毛x4</t>
  </si>
  <si>
    <t>🍬</t>
  </si>
  <si>
    <t>狮子王</t>
  </si>
  <si>
    <t>大米x2</t>
  </si>
  <si>
    <t>江雪左文字</t>
  </si>
  <si>
    <t xml:space="preserve">          </t>
  </si>
  <si>
    <t>被十个生物关注就会吓到踩高跷逃跑的两脚兽</t>
  </si>
  <si>
    <t>山伏国广</t>
  </si>
  <si>
    <t>书写道具x2</t>
  </si>
  <si>
    <t>无限冰羽</t>
  </si>
  <si>
    <t>打
刀</t>
  </si>
  <si>
    <t>歌仙兼定</t>
  </si>
  <si>
    <t>麦x4</t>
  </si>
  <si>
    <t>做法天保实装</t>
  </si>
  <si>
    <t>打刀的心得x1</t>
  </si>
  <si>
    <t>蛋×1</t>
  </si>
  <si>
    <t>叶子x1</t>
  </si>
  <si>
    <t>叶子x6</t>
  </si>
  <si>
    <t>宗三左文字</t>
  </si>
  <si>
    <t>压切长谷部</t>
  </si>
  <si>
    <t>苦笑</t>
  </si>
  <si>
    <t>加州清光</t>
  </si>
  <si>
    <t>天妇罗x2</t>
  </si>
  <si>
    <t>氵舀</t>
  </si>
  <si>
    <t>大和守安定</t>
  </si>
  <si>
    <t>臼与杵×2</t>
  </si>
  <si>
    <t>蓬松的毛×2</t>
  </si>
  <si>
    <t>打火石×2</t>
  </si>
  <si>
    <t>和泉守兼定</t>
  </si>
  <si>
    <t>乌七</t>
  </si>
  <si>
    <t>红色颜料×1</t>
  </si>
  <si>
    <t>天妇罗×2</t>
  </si>
  <si>
    <t>打刀的心得×1</t>
  </si>
  <si>
    <t>晞木染</t>
  </si>
  <si>
    <t>陆奥守吉行</t>
  </si>
  <si>
    <t>辣椒糖本糖</t>
  </si>
  <si>
    <t>山姥切国广</t>
  </si>
  <si>
    <t>麦×2</t>
  </si>
  <si>
    <t>书写道具x1</t>
  </si>
  <si>
    <t>大俱利伽罗</t>
  </si>
  <si>
    <t>木材×2</t>
  </si>
  <si>
    <t>同田贯正国</t>
  </si>
  <si>
    <t>蜂须贺虎彻</t>
  </si>
  <si>
    <t>鸣狐</t>
  </si>
  <si>
    <t>胁
差</t>
  </si>
  <si>
    <t>笑面青江</t>
  </si>
  <si>
    <t>胁差的心得x1</t>
  </si>
  <si>
    <t>鲶尾藤四郎</t>
  </si>
  <si>
    <t>卷尾雀在日环食时飞起</t>
  </si>
  <si>
    <t>骨喰藤四郎</t>
  </si>
  <si>
    <t>味增汤×2</t>
  </si>
  <si>
    <t>胁差的心得×1</t>
  </si>
  <si>
    <t>堀川国广</t>
  </si>
  <si>
    <t>水×2</t>
  </si>
  <si>
    <t>希拉</t>
  </si>
  <si>
    <t>算盘x1</t>
  </si>
  <si>
    <t>短
刀</t>
  </si>
  <si>
    <t>乱藤四郎</t>
  </si>
  <si>
    <t>短刀的心得x1</t>
  </si>
  <si>
    <t>木材×1</t>
  </si>
  <si>
    <t>骰子x4</t>
  </si>
  <si>
    <t>锄头x4</t>
  </si>
  <si>
    <t>小夜左文字</t>
  </si>
  <si>
    <t>爱染国俊</t>
  </si>
  <si>
    <t>今剑</t>
  </si>
  <si>
    <t>平野藤四郎</t>
  </si>
  <si>
    <t>厚藤四郎</t>
  </si>
  <si>
    <t>短刀的心得×1</t>
  </si>
  <si>
    <t>前田藤四郎</t>
  </si>
  <si>
    <t>秋田藤四郎</t>
  </si>
  <si>
    <t>邪恶奶黄包是什么</t>
  </si>
  <si>
    <t>是什么</t>
  </si>
  <si>
    <t>五虎退</t>
  </si>
  <si>
    <t>花蜜×2</t>
  </si>
  <si>
    <t>树枝×2</t>
  </si>
  <si>
    <t>团子×2</t>
  </si>
  <si>
    <t>药研藤四郎</t>
  </si>
  <si>
    <t>AAA团子量产批发商</t>
  </si>
  <si>
    <t>枪</t>
  </si>
  <si>
    <t>御手杵</t>
  </si>
  <si>
    <t>叶子×2</t>
  </si>
  <si>
    <t>蜻蛉切</t>
  </si>
  <si>
    <t>枪的心得x1</t>
  </si>
  <si>
    <t>薙
刀</t>
  </si>
  <si>
    <t>岩融</t>
  </si>
  <si>
    <t>薙刀的心得x1</t>
  </si>
  <si>
    <t>中文名</t>
  </si>
  <si>
    <t>材料名</t>
  </si>
  <si>
    <t>合成材料</t>
  </si>
  <si>
    <t>数量</t>
  </si>
  <si>
    <t>链接(excel可直接跳转)</t>
  </si>
  <si>
    <t>这里是单个材料的合成数量，游戏里显示是多个的需求量，记得除一下</t>
  </si>
  <si>
    <t>茶碗</t>
  </si>
  <si>
    <t>お茶碗</t>
  </si>
  <si>
    <t>お椀</t>
  </si>
  <si>
    <t>鉄</t>
  </si>
  <si>
    <t>火打ち石</t>
  </si>
  <si>
    <t>小判</t>
  </si>
  <si>
    <t>围棋</t>
  </si>
  <si>
    <t>囲碁</t>
  </si>
  <si>
    <t>丸太</t>
  </si>
  <si>
    <t>獣の牙</t>
  </si>
  <si>
    <t>ウロコ</t>
  </si>
  <si>
    <t>双色牡丹饼</t>
  </si>
  <si>
    <t>二色おはぎ</t>
  </si>
  <si>
    <t>お米</t>
  </si>
  <si>
    <t>塩</t>
  </si>
  <si>
    <t>大豆</t>
  </si>
  <si>
    <t>花の蜜</t>
  </si>
  <si>
    <t>算盘</t>
  </si>
  <si>
    <t>そろばん</t>
  </si>
  <si>
    <t>とんかち</t>
  </si>
  <si>
    <t>木の枝</t>
  </si>
  <si>
    <t>太刀的心得</t>
  </si>
  <si>
    <t>太刀の心得</t>
  </si>
  <si>
    <t>紙</t>
  </si>
  <si>
    <t>筆</t>
  </si>
  <si>
    <t>みかげ石</t>
  </si>
  <si>
    <t>花札</t>
  </si>
  <si>
    <t>お花</t>
  </si>
  <si>
    <t>サンゴ</t>
  </si>
  <si>
    <t>团子</t>
  </si>
  <si>
    <t>お団子</t>
  </si>
  <si>
    <t>葉っぱ</t>
  </si>
  <si>
    <t>桃</t>
  </si>
  <si>
    <t>锄头</t>
  </si>
  <si>
    <t>鍬</t>
  </si>
  <si>
    <t>打刀的心得</t>
  </si>
  <si>
    <t>打刀の心得</t>
  </si>
  <si>
    <t>鬼のツノ</t>
  </si>
  <si>
    <t>碗</t>
  </si>
  <si>
    <t>粘土</t>
  </si>
  <si>
    <t>花蜜</t>
  </si>
  <si>
    <t>水</t>
  </si>
  <si>
    <t>锤子</t>
  </si>
  <si>
    <t>纸</t>
  </si>
  <si>
    <t>笔</t>
  </si>
  <si>
    <t>ふさふさの毛</t>
  </si>
  <si>
    <t>大太刀的心得</t>
  </si>
  <si>
    <t>大太刀の心得</t>
  </si>
  <si>
    <t>トラの毛皮</t>
  </si>
  <si>
    <t>臼与杵</t>
  </si>
  <si>
    <t>臼と杵</t>
  </si>
  <si>
    <t>绿子roman</t>
  </si>
  <si>
    <t>书写道具</t>
  </si>
  <si>
    <t>書き物道具</t>
  </si>
  <si>
    <t>ろうそく</t>
  </si>
  <si>
    <t>薙刀的心得</t>
  </si>
  <si>
    <t>薙刀の心得</t>
  </si>
  <si>
    <t>天妇罗</t>
  </si>
  <si>
    <t>天ぷら</t>
  </si>
  <si>
    <t>油</t>
  </si>
  <si>
    <t>お魚</t>
  </si>
  <si>
    <t>卵</t>
  </si>
  <si>
    <t>麦</t>
  </si>
  <si>
    <t>枪的心得</t>
  </si>
  <si>
    <t>槍の心得</t>
  </si>
  <si>
    <t>双六</t>
  </si>
  <si>
    <t>すごろく</t>
  </si>
  <si>
    <t>サイコロ</t>
  </si>
  <si>
    <t>手旗</t>
  </si>
  <si>
    <t>お味噌汁</t>
  </si>
  <si>
    <t>味噌</t>
  </si>
  <si>
    <t>昆布</t>
  </si>
  <si>
    <t>短刀的心得</t>
  </si>
  <si>
    <t>短刀の心得</t>
  </si>
  <si>
    <t>味增</t>
  </si>
  <si>
    <t>胁差的心得</t>
  </si>
  <si>
    <t>脇差の心得</t>
  </si>
  <si>
    <t>真珠貝</t>
  </si>
  <si>
    <t>面包</t>
  </si>
  <si>
    <t>あんぱん</t>
  </si>
  <si>
    <t>缺德冒烟真君</t>
  </si>
  <si>
    <t>关卡</t>
  </si>
  <si>
    <t>材料
种类</t>
  </si>
  <si>
    <t>掉落材料</t>
  </si>
  <si>
    <t>注：鉴于第一章的关卡的爆率比第三章关卡高，所以在这里标黄了适合给刀练级的关卡</t>
  </si>
  <si>
    <t>2-6</t>
  </si>
  <si>
    <t>无标注的掉落注释信息来源于小红书@Yayoty转载的樱花妹分享</t>
  </si>
  <si>
    <t>掉落概率</t>
  </si>
  <si>
    <t>2-7</t>
  </si>
  <si>
    <t>2-26</t>
  </si>
  <si>
    <t>/</t>
  </si>
  <si>
    <t>水、花、打火石、树枝、蓬松的毛、带骨肉等等</t>
  </si>
  <si>
    <t>一次性关卡
不完成任务解锁下一张图的话可多次刷素材</t>
  </si>
  <si>
    <t>2-11</t>
  </si>
  <si>
    <t>（小红书贡献者ID为空……）</t>
  </si>
  <si>
    <t>3-12</t>
  </si>
  <si>
    <t>1-02</t>
  </si>
  <si>
    <t>水、叶子、桃子</t>
  </si>
  <si>
    <t>水、葉っぱ、桃</t>
  </si>
  <si>
    <t>稳定水、叶子</t>
  </si>
  <si>
    <t>Heftig</t>
  </si>
  <si>
    <t>3-21</t>
  </si>
  <si>
    <t>1-04</t>
  </si>
  <si>
    <t>木材、大豆、蓬松的毛、带骨肉、蛋</t>
  </si>
  <si>
    <t>丸太、大豆、ふさふさの毛、骨付き肉、卵</t>
  </si>
  <si>
    <t>高概率毛</t>
  </si>
  <si>
    <t>打火石</t>
  </si>
  <si>
    <t>2-16</t>
  </si>
  <si>
    <t>1-07</t>
  </si>
  <si>
    <t>木材、叶子、麦</t>
  </si>
  <si>
    <t>丸太、葉っぱ、麦</t>
  </si>
  <si>
    <t>2-22</t>
  </si>
  <si>
    <t>1-09</t>
  </si>
  <si>
    <t>大豆、水、桃子</t>
  </si>
  <si>
    <t>大豆、水、桃</t>
  </si>
  <si>
    <t>3-19</t>
  </si>
  <si>
    <t>1-11</t>
  </si>
  <si>
    <t>蓬松的毛、麦、带骨肉</t>
  </si>
  <si>
    <t>ふさふさの毛、麦、骨付き肉</t>
  </si>
  <si>
    <t>3-31</t>
  </si>
  <si>
    <t>1-12</t>
  </si>
  <si>
    <t>木材、兽牙、蓬松的毛、虎皮、麦</t>
  </si>
  <si>
    <t>丸太、獣の牙、ふさふさの毛、トラの毛皮、麦</t>
  </si>
  <si>
    <t>木材</t>
  </si>
  <si>
    <t>1-4</t>
  </si>
  <si>
    <t>1-13</t>
  </si>
  <si>
    <t>大豆、叶子、蛋</t>
  </si>
  <si>
    <t>大豆、葉っぱ、卵</t>
  </si>
  <si>
    <t>1-7</t>
  </si>
  <si>
    <t>1-17</t>
  </si>
  <si>
    <t>大豆、水、鬼的角、虎皮</t>
  </si>
  <si>
    <t>大豆、水、鬼のツノ、トラの毛皮</t>
  </si>
  <si>
    <t>稳定水和豆，鬼角稀少</t>
  </si>
  <si>
    <t>Piya</t>
  </si>
  <si>
    <t>2-02</t>
  </si>
  <si>
    <t>大米、大豆</t>
  </si>
  <si>
    <t>お米、大豆</t>
  </si>
  <si>
    <t>2-05</t>
  </si>
  <si>
    <t>铁、带骨肉</t>
  </si>
  <si>
    <t>鉄、骨付き肉</t>
  </si>
  <si>
    <t>必掉铁</t>
  </si>
  <si>
    <t>2-25</t>
  </si>
  <si>
    <t>2-06</t>
  </si>
  <si>
    <t>粘土、树枝、水、鱼</t>
  </si>
  <si>
    <t>粘土、木の枝、水、お魚</t>
  </si>
  <si>
    <t>必掉鱼</t>
  </si>
  <si>
    <t>2-07</t>
  </si>
  <si>
    <t>粘土、水、油、鱼</t>
  </si>
  <si>
    <t>粘土、水、油、お魚</t>
  </si>
  <si>
    <t>兽牙</t>
  </si>
  <si>
    <t>粘土、水、鱼</t>
  </si>
  <si>
    <t>粘土、水、お魚</t>
  </si>
  <si>
    <t>还是必掉鱼</t>
  </si>
  <si>
    <t>2-27</t>
  </si>
  <si>
    <t>2-12</t>
  </si>
  <si>
    <t>铁、大米、大豆、鱼、蛋</t>
  </si>
  <si>
    <t>鉄、お米、大豆、お魚、卵</t>
  </si>
  <si>
    <t>3-26</t>
  </si>
  <si>
    <t>打火石、木材、树枝、骰子</t>
  </si>
  <si>
    <t>火打ち石、丸太、木の枝、サイコロ</t>
  </si>
  <si>
    <t>铁</t>
  </si>
  <si>
    <t>2-5</t>
  </si>
  <si>
    <t>2-19</t>
  </si>
  <si>
    <t>大米、蓬松的毛、带骨肉</t>
  </si>
  <si>
    <t>お米、ふさふさの毛、骨付き肉</t>
  </si>
  <si>
    <t>打火石、树枝、御影石、蜡烛</t>
  </si>
  <si>
    <t>火打ち石、木の枝、みかげ石、ろうそく</t>
  </si>
  <si>
    <t>感受到了怨念和痛苦</t>
  </si>
  <si>
    <t>3-4</t>
  </si>
  <si>
    <t>2-24</t>
  </si>
  <si>
    <t>御影石、骰子、蜡烛、鱼</t>
  </si>
  <si>
    <t>みかげ石、サイコロ、ろうそく、お魚</t>
  </si>
  <si>
    <t>多骰子</t>
  </si>
  <si>
    <t>3-7</t>
  </si>
  <si>
    <t>木材、树枝、花</t>
  </si>
  <si>
    <t>丸太、木の枝、お花</t>
  </si>
  <si>
    <t>砍断6根木材必掉木材，多树枝</t>
  </si>
  <si>
    <t>zznatsu</t>
  </si>
  <si>
    <t>3-33</t>
  </si>
  <si>
    <t>兽牙、水、鬼的角、虎皮</t>
  </si>
  <si>
    <t>獣の牙、水、鬼のツノ、トラの毛皮</t>
  </si>
  <si>
    <t>鳞片</t>
  </si>
  <si>
    <t>3-24</t>
  </si>
  <si>
    <t>2-29</t>
  </si>
  <si>
    <t>蓬松的毛、发绳</t>
  </si>
  <si>
    <t>ふさふさの毛、元結</t>
  </si>
  <si>
    <t>3-35</t>
  </si>
  <si>
    <t>3-02</t>
  </si>
  <si>
    <t>大米、盐、水、蚌、海带</t>
  </si>
  <si>
    <t>お米、塩、水、真珠貝、昆布</t>
  </si>
  <si>
    <t>2-2</t>
  </si>
  <si>
    <t>3-04</t>
  </si>
  <si>
    <t>铁、御影石、蚌、油、螺丝</t>
  </si>
  <si>
    <t>鉄、みかげ石、真珠貝、油、ネジ</t>
  </si>
  <si>
    <t>3-07</t>
  </si>
  <si>
    <t>铁、大米、御影石、花、桃子、蚌</t>
  </si>
  <si>
    <t>鉄、お米、みかげ石、お花、桃、真珠貝</t>
  </si>
  <si>
    <t>3-09</t>
  </si>
  <si>
    <t>大豆、蚌、手旗、麦</t>
  </si>
  <si>
    <t>大豆、真珠貝、手旗、麦</t>
  </si>
  <si>
    <t>3-2</t>
  </si>
  <si>
    <t>粘土、木材、树枝、手旗</t>
  </si>
  <si>
    <t>粘土、丸太、木の枝、手旗</t>
  </si>
  <si>
    <t>高概率树枝</t>
  </si>
  <si>
    <t>3-14</t>
  </si>
  <si>
    <t>手旗、虎皮、骰子</t>
  </si>
  <si>
    <t>手旗、トラの毛皮、サイコロ</t>
  </si>
  <si>
    <t>高概率骰子</t>
  </si>
  <si>
    <t>3-17</t>
  </si>
  <si>
    <t>大豆、水、珊瑚、蚌、蟹钳、海带</t>
  </si>
  <si>
    <t>大豆、水、サンゴ、真珠貝、カニのはさみ、昆布</t>
  </si>
  <si>
    <t>盐</t>
  </si>
  <si>
    <t>打火石、蜡烛</t>
  </si>
  <si>
    <t>火打ち石、ろうそく</t>
  </si>
  <si>
    <t>boss高概率/必掉打火石</t>
  </si>
  <si>
    <t>粘土、御影石、桃子、蟹钳</t>
  </si>
  <si>
    <t>粘土、みかげ石、桃、カニのはさみ</t>
  </si>
  <si>
    <t>高概率黏土</t>
  </si>
  <si>
    <t>鳞片、盐、珊瑚、叶子、桃子、鱼</t>
  </si>
  <si>
    <t>ウロコ、塩、サンゴ、葉っぱ、桃、お魚</t>
  </si>
  <si>
    <t>稳定叶子，高概率叶子x2和盐</t>
  </si>
  <si>
    <t>3-29</t>
  </si>
  <si>
    <t>兽牙、大米、盐、水、海带</t>
  </si>
  <si>
    <t>盐、御影石、珊瑚、蟹钳、海带</t>
  </si>
  <si>
    <t>塩、みかげ石、サンゴ、カニのはさみ、昆布</t>
  </si>
  <si>
    <t>獣の牙、お米、塩、水、昆布</t>
  </si>
  <si>
    <t>打火石几乎必掉</t>
  </si>
  <si>
    <t>铁、盐、油、螺丝</t>
  </si>
  <si>
    <t>鉄、塩、油、ネジ</t>
  </si>
  <si>
    <t>鳞片、盐、珊瑚、羽衣</t>
  </si>
  <si>
    <t>ウロコ、塩、サンゴ、羽衣</t>
  </si>
  <si>
    <t>1-9</t>
  </si>
  <si>
    <t>3-9</t>
  </si>
  <si>
    <t>树枝</t>
  </si>
  <si>
    <t>御影石</t>
  </si>
  <si>
    <t>花</t>
  </si>
  <si>
    <t>1-2</t>
  </si>
  <si>
    <t>蓬松
的毛</t>
  </si>
  <si>
    <t>ふさふさ
の毛</t>
  </si>
  <si>
    <t>珊瑚</t>
  </si>
  <si>
    <t>叶子</t>
  </si>
  <si>
    <t>桃子</t>
  </si>
  <si>
    <t>鬼的角</t>
  </si>
  <si>
    <t>蚌</t>
  </si>
  <si>
    <t>虎皮</t>
  </si>
  <si>
    <t>トラの
毛皮</t>
  </si>
  <si>
    <t>骰子</t>
  </si>
  <si>
    <t>蟹钳</t>
  </si>
  <si>
    <t>カニの
はさみ</t>
  </si>
  <si>
    <t>海带</t>
  </si>
  <si>
    <t>螺丝</t>
  </si>
  <si>
    <t>ネジ</t>
  </si>
  <si>
    <t>蜡烛</t>
  </si>
  <si>
    <t>带骨肉</t>
  </si>
  <si>
    <t>骨付き肉</t>
  </si>
  <si>
    <t xml:space="preserve"> 鱼</t>
  </si>
  <si>
    <t>蛋</t>
  </si>
  <si>
    <t>发绳</t>
  </si>
  <si>
    <t>元結</t>
  </si>
  <si>
    <t>羽衣</t>
  </si>
  <si>
    <t>蓬松的毛</t>
  </si>
  <si>
    <t>カニのはさみ</t>
  </si>
  <si>
    <t>刀消养成计算器</t>
  </si>
  <si>
    <t>全部角色奥义、绘马预览
26.9.28</t>
  </si>
  <si>
    <t>如果求到作者授权就新开一页把图片都贴进来可以吗</t>
  </si>
  <si>
    <t>我试试</t>
  </si>
  <si>
    <t>我之前发了评论申请作者没理我TWT</t>
  </si>
  <si>
    <t>刀消素材掉落
概率统计</t>
  </si>
  <si>
    <t>刀消素材掉落查找工具</t>
  </si>
  <si>
    <t>本表格统一性校验工具2025.9.28（也直观看原材料、合成物品的中日对照表）</t>
  </si>
  <si>
    <t>太厉害了………………</t>
  </si>
  <si>
    <t>多功能材料计算器v2.2.0</t>
  </si>
  <si>
    <t>练刀材料自动计算，空值提示</t>
  </si>
  <si>
    <t>背包库存管理，查看材料缺口</t>
  </si>
  <si>
    <t>材料刷取关卡快速查询</t>
  </si>
  <si>
    <t>太厉害了………………【跪下</t>
  </si>
  <si>
    <t>合成拆解，统计材料与小判消耗</t>
  </si>
  <si>
    <t>多选批量操作，数据导出备份</t>
  </si>
  <si>
    <t>彩蛋：本丸今日运势，每日抽取运势事件</t>
  </si>
  <si>
    <t>活动信息</t>
  </si>
  <si>
    <t>风骅：自用，不懂日语可能有错，无特殊标注都是累计完成</t>
  </si>
  <si>
    <t>LV10红鬼</t>
  </si>
  <si>
    <t>发现是循环任务并非玩家统一，姑且留着当参考吧</t>
  </si>
  <si>
    <t>攻击50次</t>
  </si>
  <si>
    <t>奥义5次</t>
  </si>
  <si>
    <t>13410伤害</t>
  </si>
  <si>
    <t>杀敌144次</t>
  </si>
  <si>
    <t>蓬松的毛x2、大豆x2
木材x1、更多PT、绘马</t>
  </si>
  <si>
    <t>单次连线13个</t>
  </si>
  <si>
    <t>击杀2个boss</t>
  </si>
  <si>
    <t>奥义致命一击</t>
  </si>
  <si>
    <t>A评级以上</t>
  </si>
  <si>
    <t>记得用低等级刀打可以比较少回数完成任务</t>
  </si>
  <si>
    <t>击杀215蓝鬼</t>
  </si>
  <si>
    <t>胜利2局</t>
  </si>
  <si>
    <t>乱舞2次</t>
  </si>
  <si>
    <t>乱舞击杀200饿鬼</t>
  </si>
  <si>
    <t>有机会2回完成，一般3回完成</t>
  </si>
  <si>
    <t>合成15个炸弹</t>
  </si>
  <si>
    <t>合成20个lv1+炸弹</t>
  </si>
  <si>
    <t>10次炸弹合体</t>
  </si>
  <si>
    <t>击杀200红鬼</t>
  </si>
  <si>
    <t>LV12蓝鬼</t>
  </si>
  <si>
    <t>不太清楚lv1+炸弹和1次以上合体包不包括1</t>
  </si>
  <si>
    <t>单局击杀20红鬼</t>
  </si>
  <si>
    <t>单局攻击8次</t>
  </si>
  <si>
    <t>单局奥义1次</t>
  </si>
  <si>
    <t>单局515伤害</t>
  </si>
  <si>
    <t>水x2、叶子x2
麦x1、大豆x1、更多PT、绘马</t>
  </si>
  <si>
    <t>单局乱舞/奥义1次应该是至少一次，向上不限</t>
  </si>
  <si>
    <t>单局击杀50饿鬼</t>
  </si>
  <si>
    <t>单局乱舞1次</t>
  </si>
  <si>
    <t>单局乱舞杀60鬼</t>
  </si>
  <si>
    <t>单局合成2次炸弹</t>
  </si>
  <si>
    <t>单局合成lv1+炸弹</t>
  </si>
  <si>
    <t>单局1+次炸弹合体</t>
  </si>
  <si>
    <t>单局击杀30蓝鬼</t>
  </si>
  <si>
    <t>有机会1回完成，一般2回完成</t>
  </si>
  <si>
    <t>单局伤害4785</t>
  </si>
  <si>
    <t>击杀230黄鬼</t>
  </si>
  <si>
    <t>单局击杀30黄鬼</t>
  </si>
  <si>
    <t>LV14黄鬼
11200血</t>
  </si>
  <si>
    <t>14934伤害</t>
  </si>
  <si>
    <t>水x2、木材x2
更多PT、绘马</t>
  </si>
  <si>
    <t>击杀144饿鬼</t>
  </si>
  <si>
    <t>单局奥义2次</t>
  </si>
  <si>
    <t>2回完成</t>
  </si>
  <si>
    <t>LV18大树</t>
  </si>
  <si>
    <t>感谢各位同事的支持！统计表ver0.1版本已经完善了很多了，这里放一个版留言吧。</t>
  </si>
  <si>
    <t>有一些在帖子评论里发截图的同事，我输进表格里并附上了红薯id，直接编辑的同事也可以在贡献者一栏留下自己的名字！</t>
  </si>
  <si>
    <t>我还没想好这个表格要是做好了应该怎么保存下去，做wiki或者小程序或者qq机器人都可以吧。反正数据已经开源了，转载的同事记得表明出处</t>
  </si>
  <si>
    <t>ver0.2版本已经完工！完善了第三章之前所有的关卡掉落。刀男突破材料和材料合成部分还需要完善。</t>
  </si>
  <si>
    <t>我基于电脑显示效果整理了表格格式，如果有什么优化建议请留言给我~</t>
  </si>
  <si>
    <t>黄改成普是不是好些？毕竟角色本身还有红黄蓝的属性</t>
  </si>
  <si>
    <t>也是哦，那就改吧</t>
  </si>
  <si>
    <t>要命了想给刀刀补个充电颜色结果被藤四郎军团击倒了成为了笑话</t>
  </si>
  <si>
    <t>一雪前耻！</t>
  </si>
  <si>
    <t>薙刀合成的书写道具数据有误请哪位订正一下</t>
  </si>
  <si>
    <t>开一个活动选项卡吗？我先写在其他工具里了</t>
  </si>
  <si>
    <t>活动好像是每个人的任务随机循环，我姑且留下表格方便大家预览掉落和后续怪物</t>
  </si>
  <si>
    <t>我手机上能看到格子的注释，如果看不到请告诉我换个方式标注</t>
  </si>
  <si>
    <t>交换所</t>
  </si>
  <si>
    <t>彩歌仙池子积分交换截止10月5日11:59（10:59）</t>
  </si>
  <si>
    <t>记得领每日限时使用的1心体力药（我一定不是唯一忘记领的TWT）</t>
  </si>
  <si>
    <t>piya  薙刀合成的书写道具数据我给补充了。以及，这个表是可以多人填写吗……？</t>
  </si>
  <si>
    <t>不要在1-17刷鬼角……我刷到了80多的水，0个鬼角掉落。不过1-17稳定掉水+豆，各自有俩的概率很高</t>
  </si>
  <si>
    <t>⬆️风骅：感谢！目前还没有人捣乱所以作者同事还开着权限，我发现能编辑的时候也很震惊（总之猛猛编辑了）。1-17的掉落说明已经加入备注</t>
  </si>
  <si>
    <t>piya 刀男所需材料的锹和锄头是同一个材料吧，感觉可以统一一个名字（</t>
  </si>
  <si>
    <t>⬆️风骅：改完了❤</t>
  </si>
  <si>
    <t>piya 材料来源标写混了：3-12的“多毛”以外的信息是3-17，多毛我不知道是哪位同事备注的（</t>
  </si>
  <si>
    <t>⬆️风骅：看窜行了对不起！已修改【咽气】等下是3-17还是1-17，果然这个排版会引人疑问是吗——————</t>
  </si>
  <si>
    <t>风骅：三色绘具是消耗品吗？？？？？哪里掉啊？？？？？</t>
  </si>
  <si>
    <t>⬆️文州：目前只有三章主线完成后红黄蓝各给一个+活跃度pass基础款能攒出2个红绘具，所以理论上现在最多练出5把35级（根本不够（气</t>
  </si>
  <si>
    <t>⬆️风骅：是人吗！他们的玩家进度管理还是那么小气……</t>
  </si>
  <si>
    <t>⬆️piya：30级进化完回来了，这个绘具压根没写获得方式，看笑了。所以现阶段黄和蓝30级突破估计各自只能有一个</t>
  </si>
  <si>
    <t>⬆️文州：太好了新活动可以换黄蓝绘具各一（）这下三个颜色就扯平了</t>
  </si>
  <si>
    <t>⬆️风骅：抽/绘具/鱼鳞你来抉择吧，哦也【。</t>
  </si>
  <si>
    <t>乌七：黏土到底在哪里刷……一整天了一个都没掉啊！！2-6 2-7 2-11都试过了非得离谱</t>
  </si>
  <si>
    <t>⬆️风骅：3图打碎鸟窝【】给我掉了一个，就一个</t>
  </si>
  <si>
    <t>piya：2-5的带骨肉掉率好好笑……刷了30个铁，才掉一个带骨肉……</t>
  </si>
  <si>
    <t>⬆️风骅：铁都不给我——</t>
  </si>
  <si>
    <t>风骅：3-24掉珊瑚都不给我鳞片，3-35掉羽衣都不给我鳞片</t>
  </si>
  <si>
    <t>LV18大树
12488</t>
  </si>
  <si>
    <t>水x2、鱼x1
更多PT、绘马</t>
  </si>
  <si>
    <t>⬆️年下阴角激推：谁说不是呢，，同为命苦之人（可恶啊——</t>
  </si>
  <si>
    <t>⬆️年下阴角激推：谁说不是呢，，同为命苦之人（可恶啊——话说有看到掉落物跟boss有关desu</t>
  </si>
  <si>
    <t>⬆️年下阴角激推：谁说不是呢，，同为命苦之人（可恶啊——话说有看到说掉落物跟boss有关desu</t>
  </si>
  <si>
    <t>计数项:材料</t>
  </si>
  <si>
    <t>总计</t>
  </si>
  <si>
    <r>
      <rPr>
        <b val="0"/>
        <i val="0"/>
        <strike val="0"/>
        <color rgb="FFFFFFFF"/>
        <sz val="10"/>
        <u val="none"/>
      </rPr>
      <t xml:space="preserve">比如我，纸缺5，需求量10，想着有一把刀快羁绊3了，那... </t>
    </r>
    <r>
      <rPr>
        <b val="0"/>
        <i val="0"/>
        <strike val="0"/>
        <color rgb="FF175CEB"/>
        <sz val="10"/>
        <u/>
      </rPr>
      <t>https://xhslink.cn/o/Vg6kGMX6Xy</t>
    </r>
    <r>
      <rPr>
        <b val="0"/>
        <i val="0"/>
        <strike val="0"/>
        <color rgb="FFFFFFFF"/>
        <sz val="10"/>
        <u val="none"/>
      </rPr>
      <t xml:space="preserve"> 
留住这段口令，去【小红书】瞅瞅笔记~</t>
    </r>
  </si>
  <si>
    <r>
      <rPr>
        <rFont val="等线"/>
        <b val="0"/>
        <i val="0"/>
        <strike val="0"/>
        <color rgb="FF0563C1"/>
        <sz val="11"/>
        <u/>
      </rPr>
      <t>合成-&gt;</t>
    </r>
  </si>
  <si>
    <r>
      <rPr>
        <rFont val="等线"/>
        <b val="0"/>
        <i val="0"/>
        <strike val="0"/>
        <color rgb="FF0563C1"/>
        <sz val="11"/>
        <u/>
      </rPr>
      <t>前往-&gt;</t>
    </r>
  </si>
  <si>
    <r>
      <rPr>
        <rFont val="等线"/>
        <b val="0"/>
        <i val="0"/>
        <strike val="0"/>
        <color rgb="FF0563C1"/>
        <sz val="11"/>
        <u/>
      </rPr>
      <t>前往-&gt;</t>
    </r>
  </si>
  <si>
    <r>
      <rPr>
        <rFont val="等线"/>
        <b val="0"/>
        <i val="0"/>
        <strike val="0"/>
        <color rgb="FF0563C1"/>
        <sz val="11"/>
        <u/>
      </rPr>
      <t>前往-&gt;</t>
    </r>
  </si>
  <si>
    <r>
      <rPr>
        <rFont val="等线"/>
        <b val="0"/>
        <i val="0"/>
        <strike val="0"/>
        <color rgb="FF0563C1"/>
        <sz val="11"/>
        <u/>
      </rPr>
      <t>前往-&gt;</t>
    </r>
  </si>
  <si>
    <r>
      <rPr>
        <rFont val="等线"/>
        <b val="0"/>
        <i val="0"/>
        <strike val="0"/>
        <color rgb="FF0563C1"/>
        <sz val="11"/>
        <u/>
      </rPr>
      <t>合成-&gt;</t>
    </r>
  </si>
  <si>
    <r>
      <rPr>
        <rFont val="等线"/>
        <b val="0"/>
        <i val="0"/>
        <strike val="0"/>
        <color rgb="FF0563C1"/>
        <sz val="11"/>
        <u/>
      </rPr>
      <t>前往-&gt;</t>
    </r>
  </si>
  <si>
    <r>
      <rPr>
        <rFont val="等线"/>
        <b val="0"/>
        <i val="0"/>
        <strike val="0"/>
        <color rgb="FF0563C1"/>
        <sz val="11"/>
        <u/>
      </rPr>
      <t>前往-&gt;</t>
    </r>
  </si>
  <si>
    <r>
      <rPr>
        <rFont val="等线"/>
        <b val="0"/>
        <i val="0"/>
        <strike val="0"/>
        <color rgb="FF0563C1"/>
        <sz val="11"/>
        <u/>
      </rPr>
      <t>前往-&gt;</t>
    </r>
  </si>
  <si>
    <r>
      <rPr>
        <rFont val="等线"/>
        <b val="0"/>
        <i val="0"/>
        <strike val="0"/>
        <color rgb="FF0563C1"/>
        <sz val="11"/>
        <u/>
      </rPr>
      <t>前往-&gt;</t>
    </r>
  </si>
  <si>
    <r>
      <rPr>
        <rFont val="等线"/>
        <b val="0"/>
        <i val="0"/>
        <strike val="0"/>
        <color rgb="FF0563C1"/>
        <sz val="11"/>
        <u/>
      </rPr>
      <t>合成-&gt;</t>
    </r>
  </si>
  <si>
    <r>
      <rPr>
        <rFont val="等线"/>
        <b val="0"/>
        <i val="0"/>
        <strike val="0"/>
        <color rgb="FF0563C1"/>
        <sz val="11"/>
        <u/>
      </rPr>
      <t>合成-&gt;</t>
    </r>
  </si>
  <si>
    <r>
      <rPr>
        <rFont val="等线"/>
        <b val="0"/>
        <i val="0"/>
        <strike val="0"/>
        <color rgb="FF0563C1"/>
        <sz val="11"/>
        <u/>
      </rPr>
      <t>前往-&gt;</t>
    </r>
  </si>
  <si>
    <r>
      <rPr>
        <rFont val="等线"/>
        <b val="0"/>
        <i val="0"/>
        <strike val="0"/>
        <color rgb="FF0563C1"/>
        <sz val="11"/>
        <u/>
      </rPr>
      <t>前往-&gt;</t>
    </r>
  </si>
  <si>
    <r>
      <rPr>
        <rFont val="等线"/>
        <b val="0"/>
        <i val="0"/>
        <strike val="0"/>
        <color rgb="FF0563C1"/>
        <sz val="11"/>
        <u/>
      </rPr>
      <t>前往-&gt;</t>
    </r>
  </si>
  <si>
    <r>
      <rPr>
        <rFont val="等线"/>
        <b val="0"/>
        <i val="0"/>
        <strike val="0"/>
        <color rgb="FF0563C1"/>
        <sz val="11"/>
        <u/>
      </rPr>
      <t>合成-&gt;</t>
    </r>
  </si>
  <si>
    <r>
      <rPr>
        <rFont val="等线"/>
        <b val="0"/>
        <i val="0"/>
        <strike val="0"/>
        <color rgb="FF0563C1"/>
        <sz val="11"/>
        <u/>
      </rPr>
      <t>合成-&gt;</t>
    </r>
  </si>
  <si>
    <r>
      <rPr>
        <rFont val="等线"/>
        <b val="0"/>
        <i val="0"/>
        <strike val="0"/>
        <color rgb="FF0563C1"/>
        <sz val="11"/>
        <u/>
      </rPr>
      <t>前往-&gt;</t>
    </r>
  </si>
  <si>
    <r>
      <rPr>
        <rFont val="等线"/>
        <b val="0"/>
        <i val="0"/>
        <strike val="0"/>
        <color rgb="FF0563C1"/>
        <sz val="11"/>
        <u/>
      </rPr>
      <t>合成-&gt;</t>
    </r>
  </si>
  <si>
    <r>
      <rPr>
        <rFont val="等线"/>
        <b val="0"/>
        <i val="0"/>
        <strike val="0"/>
        <color rgb="FF0563C1"/>
        <sz val="11"/>
        <u/>
      </rPr>
      <t>前往-&gt;</t>
    </r>
  </si>
  <si>
    <r>
      <rPr>
        <rFont val="等线"/>
        <b val="0"/>
        <i val="0"/>
        <strike val="0"/>
        <color rgb="FF0563C1"/>
        <sz val="11"/>
        <u/>
      </rPr>
      <t>合成-&gt;</t>
    </r>
  </si>
  <si>
    <r>
      <rPr>
        <rFont val="等线"/>
        <b val="0"/>
        <i val="0"/>
        <strike val="0"/>
        <color rgb="FF0563C1"/>
        <sz val="11"/>
        <u/>
      </rPr>
      <t>前往-&gt;</t>
    </r>
  </si>
  <si>
    <r>
      <rPr>
        <rFont val="等线"/>
        <b val="0"/>
        <i val="0"/>
        <strike val="0"/>
        <color rgb="FF0563C1"/>
        <sz val="11"/>
        <u/>
      </rPr>
      <t>前往-&gt;</t>
    </r>
  </si>
  <si>
    <r>
      <rPr>
        <rFont val="等线"/>
        <b val="0"/>
        <i val="0"/>
        <strike val="0"/>
        <color rgb="FF0563C1"/>
        <sz val="11"/>
        <u/>
      </rPr>
      <t>前往-&gt;</t>
    </r>
  </si>
  <si>
    <r>
      <rPr>
        <rFont val="等线"/>
        <b val="0"/>
        <i val="0"/>
        <strike val="0"/>
        <color rgb="FF0563C1"/>
        <sz val="11"/>
        <u/>
      </rPr>
      <t>合成-&gt;</t>
    </r>
  </si>
  <si>
    <r>
      <rPr>
        <rFont val="等线"/>
        <b val="0"/>
        <i val="0"/>
        <strike val="0"/>
        <color rgb="FF0563C1"/>
        <sz val="11"/>
        <u/>
      </rPr>
      <t>前往-&gt;</t>
    </r>
  </si>
  <si>
    <r>
      <rPr>
        <rFont val="等线"/>
        <b val="0"/>
        <i val="0"/>
        <strike val="0"/>
        <color rgb="FF0563C1"/>
        <sz val="11"/>
        <u/>
      </rPr>
      <t>合成-&gt;</t>
    </r>
  </si>
  <si>
    <r>
      <rPr>
        <rFont val="等线"/>
        <b val="0"/>
        <i val="0"/>
        <strike val="0"/>
        <color rgb="FF0563C1"/>
        <sz val="11"/>
        <u/>
      </rPr>
      <t>前往-&gt;</t>
    </r>
  </si>
  <si>
    <r>
      <rPr>
        <rFont val="等线"/>
        <b val="0"/>
        <i val="0"/>
        <strike val="0"/>
        <color rgb="FF0563C1"/>
        <sz val="11"/>
        <u/>
      </rPr>
      <t>前往-&gt;</t>
    </r>
  </si>
  <si>
    <r>
      <rPr>
        <rFont val="等线"/>
        <b val="0"/>
        <i val="0"/>
        <strike val="0"/>
        <color rgb="FF0563C1"/>
        <sz val="11"/>
        <u/>
      </rPr>
      <t>合成-&gt;</t>
    </r>
  </si>
  <si>
    <r>
      <rPr>
        <rFont val="等线"/>
        <b val="0"/>
        <i val="0"/>
        <strike val="0"/>
        <color rgb="FF0563C1"/>
        <sz val="11"/>
        <u/>
      </rPr>
      <t>合成-&gt;</t>
    </r>
  </si>
  <si>
    <r>
      <rPr>
        <rFont val="等线"/>
        <b val="0"/>
        <i val="0"/>
        <strike val="0"/>
        <color rgb="FF0563C1"/>
        <sz val="11"/>
        <u/>
      </rPr>
      <t>前往-&gt;</t>
    </r>
  </si>
  <si>
    <r>
      <rPr>
        <rFont val="等线"/>
        <b val="0"/>
        <i val="0"/>
        <strike val="0"/>
        <color rgb="FF0563C1"/>
        <sz val="11"/>
        <u/>
      </rPr>
      <t>前往-&gt;</t>
    </r>
  </si>
  <si>
    <r>
      <rPr>
        <rFont val="等线"/>
        <b val="0"/>
        <i val="0"/>
        <strike val="0"/>
        <color rgb="FF0563C1"/>
        <sz val="11"/>
        <u/>
      </rPr>
      <t>前往-&gt;</t>
    </r>
  </si>
  <si>
    <r>
      <rPr>
        <rFont val="等线"/>
        <b val="0"/>
        <i val="0"/>
        <strike val="0"/>
        <color rgb="FF0563C1"/>
        <sz val="11"/>
        <u/>
      </rPr>
      <t>前往-&gt;</t>
    </r>
  </si>
  <si>
    <r>
      <rPr>
        <rFont val="等线"/>
        <b val="0"/>
        <i val="0"/>
        <strike val="0"/>
        <color rgb="FF0563C1"/>
        <sz val="11"/>
        <u/>
      </rPr>
      <t>前往-&gt;</t>
    </r>
  </si>
  <si>
    <r>
      <rPr>
        <rFont val="等线"/>
        <b val="0"/>
        <i val="0"/>
        <strike val="0"/>
        <color rgb="FF0563C1"/>
        <sz val="11"/>
        <u/>
      </rPr>
      <t>前往-&gt;</t>
    </r>
  </si>
  <si>
    <r>
      <rPr>
        <rFont val="等线"/>
        <b val="0"/>
        <i val="0"/>
        <strike val="0"/>
        <color rgb="FF0563C1"/>
        <sz val="11"/>
        <u/>
      </rPr>
      <t>前往-&gt;</t>
    </r>
  </si>
  <si>
    <r>
      <rPr>
        <rFont val="等线"/>
        <b val="0"/>
        <i val="0"/>
        <strike val="0"/>
        <color rgb="FF0563C1"/>
        <sz val="11"/>
        <u/>
      </rPr>
      <t>前往-&gt;</t>
    </r>
  </si>
  <si>
    <r>
      <rPr>
        <rFont val="等线"/>
        <b val="0"/>
        <i val="0"/>
        <strike val="0"/>
        <color rgb="FF0563C1"/>
        <sz val="11"/>
        <u/>
      </rPr>
      <t>前往-&gt;</t>
    </r>
  </si>
  <si>
    <r>
      <rPr>
        <rFont val="等线"/>
        <b val="0"/>
        <i val="0"/>
        <strike val="0"/>
        <color rgb="FF0563C1"/>
        <sz val="11"/>
        <u/>
      </rPr>
      <t>前往-&gt;</t>
    </r>
  </si>
  <si>
    <r>
      <rPr>
        <rFont val="等线"/>
        <b val="0"/>
        <i val="0"/>
        <strike val="0"/>
        <color rgb="FF0563C1"/>
        <sz val="11"/>
        <u/>
      </rPr>
      <t>前往-&gt;</t>
    </r>
  </si>
  <si>
    <r>
      <rPr>
        <rFont val="等线"/>
        <b val="0"/>
        <i val="0"/>
        <strike val="0"/>
        <color rgb="FF0563C1"/>
        <sz val="11"/>
        <u/>
      </rPr>
      <t>前往-&gt;</t>
    </r>
  </si>
  <si>
    <r>
      <rPr>
        <rFont val="等线"/>
        <b val="0"/>
        <i val="0"/>
        <strike val="0"/>
        <color rgb="FF0563C1"/>
        <sz val="11"/>
        <u/>
      </rPr>
      <t>合成-&gt;</t>
    </r>
  </si>
  <si>
    <r>
      <rPr>
        <rFont val="等线"/>
        <b val="0"/>
        <i val="0"/>
        <strike val="0"/>
        <color rgb="FF0563C1"/>
        <sz val="11"/>
        <u/>
      </rPr>
      <t>合成-&gt;</t>
    </r>
  </si>
  <si>
    <r>
      <rPr>
        <rFont val="等线"/>
        <b val="0"/>
        <i val="0"/>
        <strike val="0"/>
        <color rgb="FF0563C1"/>
        <sz val="11"/>
        <u/>
      </rPr>
      <t>前往-&gt;</t>
    </r>
  </si>
  <si>
    <r>
      <rPr>
        <rFont val="等线"/>
        <b val="0"/>
        <i val="0"/>
        <strike val="0"/>
        <color rgb="FF0563C1"/>
        <sz val="11"/>
        <u/>
      </rPr>
      <t>前往-&gt;</t>
    </r>
  </si>
  <si>
    <r>
      <rPr>
        <rFont val="等线"/>
        <b val="0"/>
        <i val="0"/>
        <strike val="0"/>
        <color rgb="FF0563C1"/>
        <sz val="11"/>
        <u/>
      </rPr>
      <t>前往-&gt;</t>
    </r>
  </si>
  <si>
    <r>
      <rPr>
        <rFont val="等线"/>
        <b val="0"/>
        <i val="0"/>
        <strike val="0"/>
        <color rgb="FF0563C1"/>
        <sz val="11"/>
        <u/>
      </rPr>
      <t>合成-&gt;</t>
    </r>
  </si>
  <si>
    <r>
      <rPr>
        <rFont val="等线"/>
        <b val="0"/>
        <i val="0"/>
        <strike val="0"/>
        <color rgb="FF0563C1"/>
        <sz val="11"/>
        <u/>
      </rPr>
      <t>合成-&gt;</t>
    </r>
  </si>
  <si>
    <r>
      <rPr>
        <rFont val="等线"/>
        <b val="0"/>
        <i val="0"/>
        <strike val="0"/>
        <color rgb="FF0563C1"/>
        <sz val="11"/>
        <u/>
      </rPr>
      <t>前往-&gt;</t>
    </r>
  </si>
  <si>
    <r>
      <rPr>
        <rFont val="等线"/>
        <b val="0"/>
        <i val="0"/>
        <strike val="0"/>
        <color rgb="FF0563C1"/>
        <sz val="11"/>
        <u/>
      </rPr>
      <t>合成-&gt;</t>
    </r>
  </si>
  <si>
    <r>
      <rPr>
        <rFont val="等线"/>
        <b val="0"/>
        <i val="0"/>
        <strike val="0"/>
        <color rgb="FF0563C1"/>
        <sz val="11"/>
        <u/>
      </rPr>
      <t>合成-&gt;</t>
    </r>
  </si>
  <si>
    <r>
      <rPr>
        <rFont val="等线"/>
        <b val="0"/>
        <i val="0"/>
        <strike val="0"/>
        <color rgb="FF0563C1"/>
        <sz val="11"/>
        <u/>
      </rPr>
      <t>前往-&gt;</t>
    </r>
  </si>
  <si>
    <r>
      <rPr>
        <rFont val="等线"/>
        <b val="0"/>
        <i val="0"/>
        <strike val="0"/>
        <color rgb="FF0563C1"/>
        <sz val="11"/>
        <u/>
      </rPr>
      <t>前往-&gt;</t>
    </r>
  </si>
  <si>
    <r>
      <rPr>
        <rFont val="等线"/>
        <b val="0"/>
        <i val="0"/>
        <strike val="0"/>
        <color rgb="FF0563C1"/>
        <sz val="11"/>
        <u/>
      </rPr>
      <t>前往-&gt;</t>
    </r>
  </si>
  <si>
    <r>
      <rPr>
        <rFont val="等线"/>
        <b val="0"/>
        <i val="0"/>
        <strike val="0"/>
        <color rgb="FF0563C1"/>
        <sz val="11"/>
        <u/>
      </rPr>
      <t>前往-&gt;</t>
    </r>
  </si>
  <si>
    <r>
      <rPr>
        <rFont val="等线"/>
        <b val="0"/>
        <i val="0"/>
        <strike val="0"/>
        <color rgb="FF0563C1"/>
        <sz val="11"/>
        <u/>
      </rPr>
      <t>前往-&gt;</t>
    </r>
  </si>
  <si>
    <r>
      <rPr>
        <rFont val="等线"/>
        <b val="0"/>
        <i val="0"/>
        <strike val="0"/>
        <color rgb="FF0563C1"/>
        <sz val="11"/>
        <u/>
      </rPr>
      <t>合成-&gt;</t>
    </r>
  </si>
  <si>
    <r>
      <rPr>
        <rFont val="等线"/>
        <b val="0"/>
        <i val="0"/>
        <strike val="0"/>
        <color rgb="FF0563C1"/>
        <sz val="11"/>
        <u/>
      </rPr>
      <t>合成-&gt;</t>
    </r>
  </si>
  <si>
    <r>
      <rPr>
        <rFont val="等线"/>
        <b val="0"/>
        <i val="0"/>
        <strike val="0"/>
        <color rgb="FF0563C1"/>
        <sz val="11"/>
        <u/>
      </rPr>
      <t>前往-&gt;</t>
    </r>
  </si>
  <si>
    <r>
      <rPr>
        <rFont val="等线"/>
        <b val="0"/>
        <i val="0"/>
        <strike val="0"/>
        <color rgb="FF0563C1"/>
        <sz val="11"/>
        <u/>
      </rPr>
      <t>前往-&gt;</t>
    </r>
  </si>
  <si>
    <r>
      <rPr>
        <rFont val="等线"/>
        <b val="0"/>
        <i val="0"/>
        <strike val="0"/>
        <color rgb="FF0563C1"/>
        <sz val="11"/>
        <u/>
      </rPr>
      <t>合成-&gt;</t>
    </r>
  </si>
  <si>
    <r>
      <rPr>
        <rFont val="等线"/>
        <b val="0"/>
        <i val="0"/>
        <strike val="0"/>
        <color rgb="FF0563C1"/>
        <sz val="11"/>
        <u/>
      </rPr>
      <t>前往-&gt;</t>
    </r>
  </si>
  <si>
    <r>
      <rPr>
        <rFont val="等线"/>
        <b val="0"/>
        <i val="0"/>
        <strike val="0"/>
        <color rgb="FF0563C1"/>
        <sz val="11"/>
        <u/>
      </rPr>
      <t>前往-&gt;</t>
    </r>
  </si>
  <si>
    <r>
      <rPr>
        <color rgb="FF175CEB"/>
        <u/>
      </rPr>
      <t>合成-&gt;</t>
    </r>
  </si>
  <si>
    <r>
      <rPr>
        <color rgb="FF175CEB"/>
        <u/>
      </rPr>
      <t>合成-&gt;</t>
    </r>
  </si>
  <si>
    <r>
      <rPr>
        <color rgb="FF175CEB"/>
        <u/>
      </rPr>
      <t>前往-&gt;</t>
    </r>
  </si>
  <si>
    <r>
      <rPr>
        <color rgb="FF175CEB"/>
        <u/>
      </rPr>
      <t>前往-&gt;</t>
    </r>
  </si>
  <si>
    <r>
      <rPr>
        <color rgb="FF175CEB"/>
        <u/>
      </rPr>
      <t>前往-&gt;</t>
    </r>
  </si>
  <si>
    <r>
      <rPr>
        <color rgb="FF175CEB"/>
        <u/>
      </rPr>
      <t>前往-&gt;</t>
    </r>
  </si>
  <si>
    <r>
      <rPr>
        <color rgb="FF175CEB"/>
        <u/>
      </rPr>
      <t>合成-&gt;</t>
    </r>
  </si>
  <si>
    <r>
      <rPr>
        <color rgb="FF175CEB"/>
        <u/>
      </rPr>
      <t>合成-&gt;</t>
    </r>
  </si>
  <si>
    <r>
      <rPr>
        <color rgb="FF175CEB"/>
        <u/>
      </rPr>
      <t>前往-&gt;</t>
    </r>
  </si>
  <si>
    <r>
      <rPr>
        <color rgb="FF175CEB"/>
        <u/>
      </rPr>
      <t>前往-&gt;</t>
    </r>
  </si>
  <si>
    <r>
      <rPr>
        <color rgb="FF175CEB"/>
        <u/>
      </rPr>
      <t>前往-&gt;</t>
    </r>
  </si>
  <si>
    <r>
      <rPr>
        <color rgb="FF175CEB"/>
        <u/>
      </rPr>
      <t>合成-&gt;</t>
    </r>
  </si>
  <si>
    <r>
      <rPr>
        <rFont val="微软雅黑"/>
        <b val="0"/>
        <i val="0"/>
        <strike val="0"/>
        <color rgb="FF000000"/>
        <sz val="10"/>
        <u val="none"/>
      </rPr>
      <t>我发现这关刷资源好用</t>
    </r>
    <r>
      <rPr>
        <rFont val="微软雅黑"/>
        <b val="0"/>
        <i val="0"/>
        <strike val="0"/>
        <color rgb="FF000000"/>
        <sz val="10"/>
        <u val="none"/>
      </rPr>
      <t xml:space="preserve"> 2-26这是一次性关卡，掉落物很... </t>
    </r>
    <r>
      <rPr>
        <rFont val="微软雅黑"/>
        <b val="0"/>
        <i val="0"/>
        <strike val="0"/>
        <color rgb="FF175CEB"/>
        <sz val="10"/>
        <u/>
      </rPr>
      <t>https://xhslink.cn/o/5O52f1ikM3k</t>
    </r>
    <r>
      <rPr>
        <rFont val="微软雅黑"/>
        <b val="0"/>
        <i val="0"/>
        <strike val="0"/>
        <color rgb="FF000000"/>
        <sz val="10"/>
        <u val="none"/>
      </rPr>
      <t xml:space="preserve"> 
带走口令，来【小红书】发现精彩~</t>
    </r>
  </si>
  <si>
    <r>
      <rPr>
        <b val="0"/>
        <i val="0"/>
        <strike val="0"/>
        <color rgb="FF175CEB"/>
        <sz val="11"/>
        <u/>
      </rPr>
      <t>https://sotosakiyuuko.github.io/pazugiri-calculator/</t>
    </r>
  </si>
  <si>
    <r>
      <rPr>
        <b val="0"/>
        <i val="0"/>
        <strike val="0"/>
        <color rgb="FF000000"/>
        <sz val="11"/>
        <u val="none"/>
      </rPr>
      <t>刀剑消消乐角色奥义及绘马特效</t>
    </r>
    <r>
      <rPr>
        <b val="0"/>
        <i val="0"/>
        <strike val="0"/>
        <color rgb="FF000000"/>
        <sz val="11"/>
        <u val="none"/>
      </rPr>
      <t xml:space="preserve"> 那个角色预览bug怎么还... </t>
    </r>
    <r>
      <rPr>
        <b val="0"/>
        <i val="0"/>
        <strike val="0"/>
        <color rgb="FF175CEB"/>
        <sz val="11"/>
        <u/>
      </rPr>
      <t>https://xhslink.cn/o/4IKvakTtmP4</t>
    </r>
    <r>
      <rPr>
        <b val="0"/>
        <i val="0"/>
        <strike val="0"/>
        <color rgb="FF000000"/>
        <sz val="11"/>
        <u val="none"/>
      </rPr>
      <t xml:space="preserve"> 
先复制一下，再到【小红书】打开查看笔记。</t>
    </r>
  </si>
  <si>
    <r>
      <rPr>
        <b val="0"/>
        <i val="0"/>
        <strike val="0"/>
        <color rgb="FF000000"/>
        <sz val="11"/>
        <u val="none"/>
      </rPr>
      <t>【搬运】刀剑乱舞消消乐材料掉落规律</t>
    </r>
    <r>
      <rPr>
        <b val="0"/>
        <i val="0"/>
        <strike val="0"/>
        <color rgb="FF000000"/>
        <sz val="11"/>
        <u val="none"/>
      </rPr>
      <t xml:space="preserve"> 上推特发现有yhm... </t>
    </r>
    <r>
      <rPr>
        <b val="0"/>
        <i val="0"/>
        <strike val="0"/>
        <color rgb="FF175CEB"/>
        <sz val="11"/>
        <u/>
      </rPr>
      <t>https://xhslink.cn/o/8iMa8Q9jG2g</t>
    </r>
    <r>
      <rPr>
        <b val="0"/>
        <i val="0"/>
        <strike val="0"/>
        <color rgb="FF000000"/>
        <sz val="11"/>
        <u val="none"/>
      </rPr>
      <t xml:space="preserve"> 
拷走文字，去【小红书】探索这篇笔记~</t>
    </r>
  </si>
  <si>
    <r>
      <rPr>
        <b val="0"/>
        <i val="0"/>
        <strike val="0"/>
        <color rgb="FF000000"/>
        <sz val="11"/>
        <u val="none"/>
      </rPr>
      <t>我发现这关刷资源好用</t>
    </r>
    <r>
      <rPr>
        <b val="0"/>
        <i val="0"/>
        <strike val="0"/>
        <color rgb="FF000000"/>
        <sz val="11"/>
        <u val="none"/>
      </rPr>
      <t xml:space="preserve"> 2-26这是一次性关卡，掉落物很... </t>
    </r>
    <r>
      <rPr>
        <b val="0"/>
        <i val="0"/>
        <strike val="0"/>
        <color rgb="FF175CEB"/>
        <sz val="11"/>
        <u/>
      </rPr>
      <t>https://xhslink.cn/o/5O52f1ikM3k</t>
    </r>
    <r>
      <rPr>
        <b val="0"/>
        <i val="0"/>
        <strike val="0"/>
        <color rgb="FF000000"/>
        <sz val="11"/>
        <u val="none"/>
      </rPr>
      <t xml:space="preserve"> 
带走口令，来【小红书】发现精彩~</t>
    </r>
  </si>
  <si>
    <r>
      <rPr>
        <b val="0"/>
        <i val="0"/>
        <strike val="0"/>
        <color rgb="FF175CEB"/>
        <sz val="11"/>
        <u/>
      </rPr>
      <t>https://airrodsushi.wpcomstaging.com/</t>
    </r>
    <r>
      <rPr>
        <b val="0"/>
        <i val="0"/>
        <strike val="0"/>
        <color rgb="FF175CEB"/>
        <sz val="11"/>
        <u/>
      </rPr>
      <t>自用消消樂素材存檔/</t>
    </r>
  </si>
  <si>
    <r>
      <rPr>
        <b val="0"/>
        <i val="0"/>
        <strike val="0"/>
        <color rgb="FF175CEB"/>
        <sz val="11"/>
        <u/>
      </rPr>
      <t>https://haruhito-shio.github.io/touken-check/?v=1</t>
    </r>
  </si>
  <si>
    <r>
      <rPr>
        <b val="0"/>
        <i val="0"/>
        <strike val="0"/>
        <color rgb="FF175CEB"/>
        <sz val="11"/>
        <u/>
      </rPr>
      <t>https://haruhito-shio.github.io/touken-puzzle-tool/</t>
    </r>
    <r>
      <rPr>
        <b val="0"/>
        <i val="0"/>
        <strike val="0"/>
        <color rgb="FF000000"/>
        <sz val="11"/>
        <u val="none"/>
      </rPr>
      <t xml:space="preserve">
碎碎念：希望后续格式不要大改吧（</t>
    </r>
    <r>
      <rPr>
        <b val="0"/>
        <i val="0"/>
        <strike val="0"/>
        <color rgb="FF000000"/>
        <sz val="11"/>
        <u val="none"/>
      </rPr>
      <t xml:space="preserve">
数据已更新至9.30表格版本</t>
    </r>
  </si>
</sst>
</file>

<file path=xl/styles.xml><?xml version="1.0" encoding="utf-8"?>
<styleSheet xmlns="http://schemas.openxmlformats.org/spreadsheetml/2006/main">
  <numFmts count="2">
    <numFmt numFmtId="300" formatCode="General"/>
    <numFmt numFmtId="301" formatCode="@"/>
  </numFmts>
  <fonts count="63">
    <font>
      <name val="等线"/>
      <charset val="134"/>
      <family val="2"/>
      <color theme="1"/>
      <sz val="11"/>
      <scheme val="minor"/>
    </font>
    <font>
      <name val="等线"/>
      <charset val="134"/>
      <color rgb="FF175CEB"/>
      <sz val="10"/>
      <u/>
      <scheme val="minor"/>
    </font>
    <font>
      <name val="Segoe UI Symbol"/>
      <family val="2"/>
      <color rgb="FF000000"/>
      <sz val="10"/>
    </font>
    <font>
      <color rgb="FFFFFFFF"/>
    </font>
    <font>
      <color rgb="FFFFFFFF"/>
      <sz val="10"/>
    </font>
    <font>
      <color rgb="FFFFFFFF"/>
      <sz val="10"/>
    </font>
    <font/>
    <font/>
    <font>
      <name val="等线"/>
      <color theme="1"/>
      <sz val="11"/>
    </font>
    <font>
      <family val="2"/>
      <color theme="1"/>
      <sz val="10"/>
    </font>
    <font>
      <name val="Microsoft YaHei"/>
      <charset val="134"/>
      <family val="3"/>
      <sz val="11"/>
      <scheme val="minor"/>
    </font>
    <font>
      <name val="Microsoft YaHei"/>
      <family val="2"/>
      <color rgb="FFFF0000"/>
      <sz val="11"/>
    </font>
    <font>
      <color rgb="FFFFFFFF"/>
      <sz val="10"/>
    </font>
    <font>
      <name val="等线"/>
      <charset val="134"/>
      <family val="3"/>
      <sz val="11"/>
      <scheme val="minor"/>
    </font>
    <font>
      <name val="等线"/>
      <charset val="134"/>
      <family val="3"/>
      <color rgb="FF0563C1"/>
      <sz val="11"/>
      <u/>
      <scheme val="minor"/>
    </font>
    <font>
      <name val="Microsoft YaHei"/>
      <charset val="134"/>
      <family val="2"/>
      <color theme="1"/>
      <sz val="10"/>
    </font>
    <font>
      <name val="等线"/>
      <sz val="11"/>
    </font>
    <font>
      <name val="等线"/>
      <color rgb="FF0563C1"/>
      <sz val="11"/>
      <u/>
    </font>
    <font>
      <name val="等线"/>
      <charset val="134"/>
      <family val="3"/>
      <color rgb="FF000000"/>
      <sz val="11"/>
      <scheme val="minor"/>
    </font>
    <font>
      <name val="等线"/>
      <charset val="134"/>
      <family val="3"/>
      <color theme="10"/>
      <sz val="11"/>
      <u/>
      <scheme val="minor"/>
    </font>
    <font>
      <name val="Microsoft YaHei"/>
      <charset val="134"/>
      <family val="3"/>
      <color rgb="FF000000"/>
      <sz val="11"/>
      <scheme val="minor"/>
    </font>
    <font>
      <name val="Microsoft YaHei"/>
      <color rgb="FFFFFFFF"/>
    </font>
    <font>
      <color rgb="FFFFFFFF"/>
      <sz val="11"/>
    </font>
    <font>
      <color rgb="FFFFFFFF"/>
      <sz val="8"/>
    </font>
    <font/>
    <font>
      <color rgb="FF000000"/>
      <sz val="10"/>
    </font>
    <font>
      <name val="等线"/>
      <charset val="134"/>
      <family val="3"/>
      <color theme="1"/>
      <sz val="11"/>
      <scheme val="minor"/>
    </font>
    <font>
      <charset val="134"/>
      <family val="3"/>
      <scheme val="minor"/>
    </font>
    <font>
      <sz val="10"/>
    </font>
    <font>
      <sz val="10"/>
    </font>
    <font>
      <color theme="1"/>
      <sz val="11"/>
    </font>
    <font>
      <color theme="1"/>
      <sz val="10"/>
    </font>
    <font>
      <name val="等线"/>
      <color theme="1"/>
      <sz val="11"/>
    </font>
    <font>
      <sz val="10"/>
    </font>
    <font>
      <color theme="1"/>
      <sz val="10"/>
    </font>
    <font>
      <name val="等线"/>
      <charset val="134"/>
      <family val="2"/>
      <color theme="1"/>
      <sz val="11"/>
    </font>
    <font>
      <charset val="134"/>
      <family val="2"/>
    </font>
    <font/>
    <font>
      <name val="等线"/>
      <charset val="128"/>
      <family val="2"/>
      <color theme="1"/>
      <sz val="11"/>
    </font>
    <font>
      <charset val="128"/>
      <family val="2"/>
    </font>
    <font>
      <charset val="128"/>
      <family val="2"/>
      <sz val="11"/>
    </font>
    <font>
      <charset val="134"/>
      <family val="3"/>
      <color theme="1"/>
      <sz val="11"/>
      <scheme val="minor"/>
    </font>
    <font>
      <charset val="134"/>
      <family val="2"/>
      <b val="1"/>
      <color theme="1"/>
      <sz val="11"/>
      <scheme val="minor"/>
    </font>
    <font>
      <charset val="134"/>
      <family val="2"/>
      <color theme="1"/>
      <sz val="11"/>
    </font>
    <font>
      <charset val="128"/>
      <family val="2"/>
      <color theme="1"/>
      <sz val="11"/>
    </font>
    <font/>
    <font/>
    <font>
      <u/>
    </font>
    <font>
      <color rgb="FF939393"/>
    </font>
    <font>
      <color rgb="FF939393"/>
    </font>
    <font>
      <color rgb="FF939393"/>
      <sz val="11"/>
    </font>
    <font>
      <color rgb="FF000000"/>
    </font>
    <font>
      <strike val="1"/>
      <color rgb="FF7F7F7F"/>
    </font>
    <font>
      <strike val="1"/>
      <color rgb="FF7F7F7F"/>
    </font>
    <font>
      <strike val="1"/>
      <color rgb="FF939393"/>
    </font>
    <font>
      <color rgb="FF939393"/>
    </font>
    <font>
      <strike val="1"/>
      <color rgb="FF939393"/>
    </font>
    <font>
      <color rgb="FFFFFFFF"/>
    </font>
    <font>
      <b val="1"/>
    </font>
    <font>
      <name val="Microsoft YaHei"/>
    </font>
    <font>
      <name val="Microsoft YaHei"/>
      <color rgb="FFFFFFFF"/>
      <sz val="10"/>
    </font>
    <font>
      <name val="等线"/>
      <charset val="134"/>
      <family val="2"/>
      <color theme="1"/>
      <sz val="11"/>
      <scheme val="minor"/>
    </font>
    <font>
      <name val="等线"/>
      <charset val="134"/>
      <family val="2"/>
      <color theme="10"/>
      <sz val="11"/>
      <u/>
      <scheme val="minor"/>
    </font>
  </fonts>
  <fills count="52">
    <fill>
      <patternFill patternType="none"/>
    </fill>
    <fill>
      <patternFill patternType="gray125"/>
    </fill>
    <fill>
      <patternFill patternType="solid">
        <fgColor rgb="FF5E2281"/>
      </patternFill>
    </fill>
    <fill>
      <patternFill patternType="solid">
        <fgColor rgb="FF5E2281"/>
      </patternFill>
    </fill>
    <fill>
      <patternFill patternType="solid">
        <fgColor rgb="FF9E1E1A"/>
      </patternFill>
    </fill>
    <fill>
      <patternFill patternType="solid">
        <fgColor rgb="FF9E1E1A"/>
      </patternFill>
    </fill>
    <fill>
      <patternFill patternType="solid">
        <fgColor rgb="FFFF9C99"/>
      </patternFill>
    </fill>
    <fill>
      <patternFill patternType="solid">
        <fgColor rgb="FF88C1D7"/>
      </patternFill>
    </fill>
    <fill>
      <patternFill patternType="none"/>
    </fill>
    <fill>
      <patternFill patternType="none"/>
    </fill>
    <fill>
      <patternFill patternType="solid">
        <fgColor rgb="FFFFE270"/>
      </patternFill>
    </fill>
    <fill>
      <patternFill patternType="solid">
        <fgColor rgb="FFFDEBFF"/>
      </patternFill>
    </fill>
    <fill>
      <patternFill patternType="solid">
        <fgColor rgb="FFFDEBFF"/>
      </patternFill>
    </fill>
    <fill>
      <patternFill patternType="solid">
        <fgColor rgb="FFFF6B65"/>
      </patternFill>
    </fill>
    <fill>
      <patternFill patternType="solid">
        <fgColor rgb="FFFFBA84"/>
      </patternFill>
    </fill>
    <fill>
      <patternFill patternType="solid">
        <fgColor rgb="FFFFE270"/>
      </patternFill>
    </fill>
    <fill>
      <patternFill patternType="solid">
        <fgColor rgb="FFFF6B65"/>
      </patternFill>
    </fill>
    <fill>
      <patternFill patternType="solid">
        <fgColor rgb="FFFFFFB3"/>
      </patternFill>
    </fill>
    <fill>
      <patternFill patternType="solid">
        <fgColor rgb="FFCAFFC0"/>
      </patternFill>
    </fill>
    <fill>
      <patternFill patternType="solid">
        <fgColor rgb="FF99DDFF"/>
      </patternFill>
    </fill>
    <fill>
      <patternFill patternType="none"/>
    </fill>
    <fill>
      <patternFill patternType="solid">
        <fgColor rgb="FFFDEBFF"/>
      </patternFill>
    </fill>
    <fill>
      <patternFill patternType="none"/>
    </fill>
    <fill>
      <patternFill patternType="solid">
        <fgColor rgb="FF99BEFF"/>
      </patternFill>
    </fill>
    <fill>
      <patternFill patternType="solid">
        <fgColor rgb="FFFF85F7"/>
      </patternFill>
    </fill>
    <fill>
      <patternFill patternType="solid">
        <fgColor rgb="FFFFF3EB"/>
      </patternFill>
    </fill>
    <fill>
      <patternFill patternType="solid">
        <fgColor rgb="FFC00000"/>
      </patternFill>
    </fill>
    <fill>
      <patternFill patternType="solid">
        <fgColor rgb="FF7F7F7F"/>
      </patternFill>
    </fill>
    <fill>
      <patternFill patternType="solid">
        <fgColor rgb="FF7F7F7F"/>
      </patternFill>
    </fill>
    <fill/>
    <fill/>
    <fill>
      <patternFill patternType="solid">
        <fgColor rgb="FFFF87A8"/>
      </patternFill>
    </fill>
    <fill>
      <patternFill patternType="solid">
        <fgColor rgb="FFFFFF00"/>
      </patternFill>
    </fill>
    <fill/>
    <fill>
      <patternFill patternType="solid">
        <fgColor rgb="FFFF87A8"/>
      </patternFill>
    </fill>
    <fill>
      <patternFill patternType="solid">
        <fgColor rgb="FF99BEFF"/>
      </patternFill>
    </fill>
    <fill>
      <patternFill patternType="solid">
        <fgColor theme="4" tint="0.799982"/>
        <bgColor theme="4" tint="0.799982"/>
      </patternFill>
    </fill>
    <fill>
      <patternFill patternType="solid">
        <fgColor rgb="FFC00000"/>
      </patternFill>
    </fill>
    <fill>
      <patternFill patternType="solid">
        <fgColor rgb="FFFFC9C7"/>
      </patternFill>
    </fill>
    <fill>
      <patternFill patternType="solid">
        <fgColor rgb="FFFFC9C7"/>
      </patternFill>
    </fill>
    <fill>
      <patternFill patternType="solid">
        <fgColor rgb="FFC7DCFF"/>
      </patternFill>
    </fill>
    <fill>
      <patternFill patternType="solid">
        <fgColor rgb="FFC7DCFF"/>
      </patternFill>
    </fill>
    <fill>
      <patternFill patternType="solid">
        <fgColor rgb="FFFFEEAD"/>
      </patternFill>
    </fill>
    <fill>
      <patternFill patternType="solid">
        <fgColor rgb="FFFFEEAD"/>
      </patternFill>
    </fill>
    <fill>
      <patternFill patternType="solid">
        <fgColor rgb="FF1450B8"/>
      </patternFill>
    </fill>
    <fill>
      <patternFill patternType="solid">
        <fgColor rgb="FF1450B8"/>
      </patternFill>
    </fill>
    <fill>
      <patternFill patternType="solid">
        <bgColor rgb="FFA3ABB8"/>
      </patternFill>
    </fill>
    <fill>
      <patternFill patternType="solid">
        <bgColor rgb="FFDCDFE4"/>
      </patternFill>
    </fill>
    <fill>
      <patternFill patternType="solid">
        <bgColor rgb="FFC5CAD3"/>
      </patternFill>
    </fill>
    <fill>
      <patternFill patternType="solid">
        <fgColor rgb="FFFFF3EB"/>
      </patternFill>
    </fill>
    <fill>
      <patternFill patternType="none">
        <fgColor rgb="FFC5DAFF"/>
      </patternFill>
    </fill>
    <fill>
      <patternFill patternType="none">
        <fgColor rgb="FF1450B8"/>
      </patternFill>
    </fill>
  </fills>
  <borders count="54">
    <border>
      <left/>
      <right/>
      <top/>
      <bottom/>
      <diagonal/>
    </border>
    <border/>
    <border/>
    <border/>
    <border/>
    <border>
      <left style="thin">
        <color rgb="FF939393"/>
      </left>
      <top style="thin">
        <color rgb="FF939393"/>
      </top>
    </border>
    <border>
      <top style="thin">
        <color rgb="FF939393"/>
      </top>
    </border>
    <border>
      <right style="thin">
        <color rgb="FF939393"/>
      </right>
      <top style="thin">
        <color rgb="FF939393"/>
      </top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</border>
    <border>
      <right style="medium">
        <color rgb="FF000000"/>
      </right>
    </border>
    <border>
      <left style="thin">
        <color rgb="FF939393"/>
      </left>
      <top/>
    </border>
    <border>
      <top/>
    </border>
    <border>
      <right style="thin">
        <color rgb="FF939393"/>
      </right>
      <top/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thin">
        <color rgb="FF000000"/>
      </right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thin">
        <color rgb="FF939393"/>
      </left>
    </border>
    <border>
      <right style="thin">
        <color rgb="FF939393"/>
      </right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bottom style="medium">
        <color rgb="FF000000"/>
      </bottom>
    </border>
    <border>
      <right style="thin">
        <color rgb="FF000000"/>
      </right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right style="thin">
        <color rgb="FF939393"/>
      </right>
    </border>
    <border>
      <left style="medium">
        <color rgb="FF000000"/>
      </left>
      <right style="thin">
        <color rgb="FF939393"/>
      </right>
      <bottom style="thin">
        <color rgb="FF939393"/>
      </bottom>
    </border>
    <border>
      <left style="medium">
        <color rgb="FF000000"/>
      </left>
      <right/>
    </border>
    <border>
      <left style="medium">
        <color rgb="FF000000"/>
      </left>
      <right/>
      <bottom/>
    </border>
    <border diagonalUp="1" diagonalDown="1">
      <left/>
      <right/>
      <top/>
      <bottom/>
      <diagonal/>
    </border>
    <border>
      <left style="thin">
        <color rgb="FF939393"/>
      </left>
      <top style="thin">
        <color rgb="FF939393"/>
      </top>
      <bottom style="thin">
        <color rgb="FF939393"/>
      </bottom>
    </border>
    <border>
      <top style="thin">
        <color rgb="FF939393"/>
      </top>
      <bottom style="thin">
        <color rgb="FF939393"/>
      </bottom>
    </border>
    <border>
      <right style="thin">
        <color rgb="FF939393"/>
      </right>
      <top style="thin">
        <color rgb="FF939393"/>
      </top>
      <bottom style="thin">
        <color rgb="FF939393"/>
      </bottom>
    </border>
    <border>
      <left/>
      <right/>
      <top/>
      <bottom style="thin">
        <color theme="4" tint="0.399976"/>
      </bottom>
      <diagonal/>
    </border>
    <border>
      <top style="medium">
        <color rgb="FF000000"/>
      </top>
    </border>
    <border/>
    <border>
      <left style="medium">
        <color rgb="FF000000"/>
      </left>
    </border>
    <border/>
    <border>
      <left style="medium">
        <color rgb="FF000000"/>
      </left>
      <bottom style="medium">
        <color rgb="FF000000"/>
      </bottom>
    </border>
    <border>
      <left style="medium">
        <color rgb="FF000000"/>
      </left>
    </border>
    <border>
      <left style="thin">
        <color rgb="FF000000"/>
      </left>
      <top style="thin">
        <color rgb="FF000000"/>
      </top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5C5C5C"/>
      </bottom>
    </border>
    <border>
      <left style="thin">
        <color rgb="FF000000"/>
      </left>
      <top style="medium">
        <color rgb="FF000000"/>
      </top>
      <bottom style="thin">
        <color rgb="FF9D9D9D"/>
      </bottom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bottom style="thin">
        <color rgb="FF9D9D9D"/>
      </bottom>
    </border>
    <border>
      <left style="medium">
        <color rgb="FF000000"/>
      </left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thin">
        <color rgb="FF939393"/>
      </left>
      <diagonal/>
    </border>
    <border>
      <diagonal/>
    </border>
    <border>
      <right style="thin">
        <color rgb="FF939393"/>
      </right>
      <diagonal/>
    </border>
    <border>
      <left/>
      <right/>
      <top/>
      <bottom/>
      <diagonal/>
    </border>
  </borders>
  <cellStyleXfs>
    <xf numFmtId="300" fontId="61" fillId="0" borderId="53" xfId="0">
      <alignment vertical="center"/>
    </xf>
    <xf numFmtId="300" fontId="62" fillId="9" borderId="53" xfId="0" applyNumberFormat="0" applyFill="0" applyBorder="0" applyAlignment="0" applyProtection="0">
      <alignment vertical="center"/>
    </xf>
  </cellStyleXfs>
  <cellXfs count="333">
    <xf numFmtId="0" fontId="0" fillId="0" borderId="0" xfId="0">
      <alignment vertical="center"/>
    </xf>
    <xf numFmtId="0" fontId="1" fillId="0" borderId="0" xfId="0">
      <alignment vertical="center"/>
    </xf>
    <xf numFmtId="0" fontId="2" fillId="0" borderId="0" xfId="0">
      <alignment horizontal="center" vertical="center"/>
    </xf>
    <xf fontId="0" fillId="0" borderId="0" xfId="0">
      <alignment vertical="center"/>
    </xf>
    <xf numFmtId="300" fontId="3" fillId="2" borderId="53" xfId="0" applyFont="1" applyFill="1" applyAlignment="1">
      <alignment horizontal="center" vertical="center"/>
    </xf>
    <xf fontId="3" fillId="2" borderId="0" xfId="0">
      <alignment horizontal="center" vertical="center"/>
    </xf>
    <xf numFmtId="300" fontId="61" fillId="0" borderId="53" xfId="0" applyAlignment="1">
      <alignment horizontal="center" vertical="center"/>
    </xf>
    <xf fontId="3" fillId="3" borderId="0" xfId="0">
      <alignment horizontal="center" vertical="center"/>
    </xf>
    <xf fontId="4" fillId="4" borderId="0" xfId="0">
      <alignment horizontal="left" vertical="center"/>
    </xf>
    <xf fontId="4" fillId="5" borderId="0" xfId="0">
      <alignment horizontal="center" vertical="center"/>
    </xf>
    <xf fontId="4" fillId="5" borderId="1" xfId="0">
      <alignment horizontal="left" vertical="center" wrapText="0"/>
    </xf>
    <xf fontId="4" fillId="5" borderId="1" xfId="0">
      <alignment vertical="center"/>
    </xf>
    <xf fontId="5" fillId="5" borderId="0" xfId="0">
      <alignment horizontal="left" vertical="center"/>
    </xf>
    <xf fontId="4" fillId="4" borderId="0" xfId="0">
      <alignment horizontal="center" vertical="center"/>
    </xf>
    <xf numFmtId="300" fontId="6" fillId="6" borderId="53" xfId="0" applyFont="1" applyFill="1" applyAlignment="1">
      <alignment horizontal="center" vertical="center" wrapText="1"/>
    </xf>
    <xf numFmtId="300" fontId="6" fillId="0" borderId="53" xfId="0" applyFont="1" applyAlignment="1">
      <alignment horizontal="center" vertical="center"/>
    </xf>
    <xf numFmtId="0" fontId="6" fillId="7" borderId="0" xfId="0">
      <alignment horizontal="center" vertical="center"/>
    </xf>
    <xf numFmtId="0" fontId="6" fillId="8" borderId="53" xfId="0" applyNumberFormat="1" applyFont="1" applyFill="1" applyAlignment="1">
      <alignment horizontal="center" vertical="center"/>
    </xf>
    <xf numFmtId="300" fontId="6" fillId="8" borderId="53" xfId="0" applyFont="1" applyFill="1" applyAlignment="1">
      <alignment horizontal="center" vertical="center"/>
    </xf>
    <xf fontId="6" fillId="9" borderId="0" xfId="0">
      <alignment vertical="center"/>
    </xf>
    <xf fontId="0" fillId="0" borderId="0" xfId="0">
      <alignment horizontal="center" vertical="center"/>
    </xf>
    <xf numFmtId="0" fontId="6" fillId="9" borderId="0" xfId="0">
      <alignment vertical="center"/>
    </xf>
    <xf numFmtId="0" fontId="6" fillId="10" borderId="0" xfId="0">
      <alignment horizontal="center" vertical="center"/>
    </xf>
    <xf numFmtId="300" fontId="6" fillId="11" borderId="53" xfId="0" applyFont="1" applyFill="1" applyAlignment="1">
      <alignment horizontal="center" vertical="center"/>
    </xf>
    <xf fontId="6" fillId="11" borderId="0" xfId="0">
      <alignment vertical="center"/>
    </xf>
    <xf fontId="6" fillId="12" borderId="0" xfId="0">
      <alignment vertical="center"/>
    </xf>
    <xf fontId="7" fillId="11" borderId="0" xfId="0">
      <alignment vertical="center" textRotation="0"/>
    </xf>
    <xf numFmtId="0" fontId="6" fillId="13" borderId="0" xfId="0">
      <alignment horizontal="center" vertical="center"/>
    </xf>
    <xf fontId="6" fillId="8" borderId="0" xfId="0">
      <alignment vertical="center"/>
    </xf>
    <xf numFmtId="0" fontId="6" fillId="8" borderId="0" xfId="0">
      <alignment vertical="center"/>
    </xf>
    <xf numFmtId="300" fontId="6" fillId="14" borderId="53" xfId="0" applyFont="1" applyFill="1" applyAlignment="1">
      <alignment horizontal="center" vertical="center" wrapText="1"/>
    </xf>
    <xf fontId="7" fillId="8" borderId="0" xfId="0">
      <alignment vertical="center"/>
    </xf>
    <xf numFmtId="0" fontId="8" fillId="8" borderId="53" xfId="0" applyNumberFormat="1" applyFont="1" applyFill="1" applyAlignment="1">
      <alignment horizontal="center" vertical="center"/>
    </xf>
    <xf numFmtId="300" fontId="6" fillId="8" borderId="53" xfId="0" applyFont="1" applyFill="1">
      <alignment vertical="center"/>
    </xf>
    <xf numFmtId="0" fontId="6" fillId="8" borderId="53" xfId="0" applyNumberFormat="1" applyFont="1" applyFill="1">
      <alignment vertical="center"/>
    </xf>
    <xf numFmtId="0" fontId="6" fillId="11" borderId="0" xfId="0">
      <alignment vertical="center"/>
    </xf>
    <xf fontId="7" fillId="0" borderId="0" xfId="0">
      <alignment horizontal="center" vertical="center"/>
    </xf>
    <xf numFmtId="0" fontId="7" fillId="11" borderId="0" xfId="0">
      <alignment vertical="center" textRotation="0"/>
    </xf>
    <xf numFmtId="0" fontId="6" fillId="15" borderId="0" xfId="0">
      <alignment horizontal="center" vertical="center"/>
    </xf>
    <xf fontId="6" fillId="9" borderId="0" xfId="0">
      <alignment vertical="center" textRotation="0"/>
    </xf>
    <xf numFmtId="0" fontId="6" fillId="9" borderId="0" xfId="0">
      <alignment vertical="center" textRotation="0"/>
    </xf>
    <xf fontId="7" fillId="8" borderId="0" xfId="0">
      <alignment vertical="center" textRotation="0"/>
    </xf>
    <xf numFmtId="0" fontId="7" fillId="8" borderId="0" xfId="0">
      <alignment vertical="center" textRotation="0"/>
    </xf>
    <xf numFmtId="0" fontId="6" fillId="16" borderId="0" xfId="0">
      <alignment horizontal="center" vertical="center"/>
    </xf>
    <xf numFmtId="0" fontId="9" fillId="8" borderId="53" xfId="0" applyNumberFormat="1" applyFont="1" applyFill="1">
      <alignment vertical="center"/>
    </xf>
    <xf numFmtId="300" fontId="6" fillId="17" borderId="53" xfId="0" applyFont="1" applyFill="1" applyAlignment="1">
      <alignment horizontal="center" vertical="center" wrapText="1"/>
    </xf>
    <xf numFmtId="300" fontId="6" fillId="11" borderId="53" xfId="0" applyFont="1" applyFill="1">
      <alignment vertical="center"/>
    </xf>
    <xf fontId="7" fillId="8" borderId="0" xfId="0">
      <alignment vertical="center" textRotation="0"/>
    </xf>
    <xf numFmtId="0" fontId="6" fillId="8" borderId="0" xfId="0">
      <alignment/>
    </xf>
    <xf numFmtId="300" fontId="6" fillId="18" borderId="53" xfId="0" applyFont="1" applyFill="1" applyAlignment="1">
      <alignment horizontal="center" vertical="center" wrapText="1"/>
    </xf>
    <xf fontId="6" fillId="8" borderId="0" xfId="0">
      <alignment vertical="center"/>
    </xf>
    <xf numFmtId="300" fontId="6" fillId="19" borderId="53" xfId="0" applyFont="1" applyFill="1" applyAlignment="1">
      <alignment horizontal="center" vertical="center" wrapText="1"/>
    </xf>
    <xf numFmtId="0" fontId="7" fillId="20" borderId="0" xfId="0">
      <alignment horizontal="center" vertical="center"/>
    </xf>
    <xf fontId="7" fillId="21" borderId="0" xfId="0">
      <alignment horizontal="center" vertical="center"/>
    </xf>
    <xf numFmtId="0" fontId="6" fillId="11" borderId="53" xfId="0" applyNumberFormat="1" applyFont="1" applyFill="1">
      <alignment vertical="center"/>
    </xf>
    <xf fontId="7" fillId="22" borderId="0" xfId="0">
      <alignment vertical="center"/>
    </xf>
    <xf numFmtId="300" fontId="6" fillId="23" borderId="53" xfId="0" applyFont="1" applyFill="1" applyAlignment="1">
      <alignment horizontal="center" vertical="center"/>
    </xf>
    <xf numFmtId="300" fontId="6" fillId="24" borderId="53" xfId="0" applyFont="1" applyFill="1" applyAlignment="1">
      <alignment horizontal="center" vertical="center" wrapText="1"/>
    </xf>
    <xf fontId="10" fillId="25" borderId="0" xfId="0">
      <alignment horizontal="center" vertical="center" textRotation="0"/>
    </xf>
    <xf numFmtId="0" fontId="11" fillId="25" borderId="53" xfId="0" applyNumberFormat="1" applyFont="1" applyFill="1" applyAlignment="1">
      <alignment horizontal="left" vertical="center"/>
    </xf>
    <xf fontId="4" fillId="26" borderId="0" xfId="0">
      <alignment horizontal="left" vertical="center"/>
    </xf>
    <xf fontId="4" fillId="26" borderId="0" xfId="0">
      <alignment horizontal="center" vertical="center"/>
    </xf>
    <xf fontId="12" fillId="26" borderId="0" xfId="0">
      <alignment horizontal="left" vertical="center" wrapText="0"/>
    </xf>
    <xf fontId="12" fillId="26" borderId="0" xfId="0">
      <alignment horizontal="center" vertical="center"/>
    </xf>
    <xf fontId="12" fillId="26" borderId="0" xfId="0">
      <alignment vertical="center"/>
    </xf>
    <xf fontId="12" fillId="26" borderId="0" xfId="0">
      <alignment vertical="center"/>
    </xf>
    <xf fontId="13" fillId="0" borderId="0" xfId="0">
      <alignment horizontal="center" vertical="center" textRotation="0"/>
    </xf>
    <xf fontId="13" fillId="0" borderId="0" xfId="0">
      <alignment vertical="center" textRotation="0"/>
    </xf>
    <xf fontId="14" fillId="0" borderId="0" xfId="0">
      <alignment vertical="center" textRotation="0"/>
    </xf>
    <xf numFmtId="0" fontId="13" fillId="0" borderId="0" xfId="0">
      <alignment vertical="center" textRotation="0"/>
    </xf>
    <xf numFmtId="0" fontId="8" fillId="9" borderId="1" xfId="0">
      <alignment vertical="center"/>
    </xf>
    <xf numFmtId="300" fontId="15" fillId="0" borderId="53" xfId="0" applyFont="1" applyAlignment="1">
      <alignment horizontal="center" vertical="center" wrapText="1"/>
    </xf>
    <xf fontId="16" fillId="0" borderId="0" xfId="0">
      <alignment vertical="center" textRotation="0"/>
    </xf>
    <xf fontId="16" fillId="0" borderId="0" xfId="0">
      <alignment horizontal="center" vertical="center" textRotation="0"/>
    </xf>
    <xf fontId="17" fillId="0" borderId="0" xfId="0">
      <alignment vertical="center" textRotation="0"/>
    </xf>
    <xf fontId="16" fillId="8" borderId="0" xfId="0">
      <alignment vertical="center" textRotation="0"/>
    </xf>
    <xf fontId="16" fillId="8" borderId="0" xfId="0">
      <alignment horizontal="center" vertical="center" textRotation="0"/>
    </xf>
    <xf fontId="16" fillId="8" borderId="0" xfId="0">
      <alignment horizontal="left" vertical="center" textRotation="0"/>
    </xf>
    <xf numFmtId="0" fontId="16" fillId="0" borderId="0" xfId="0">
      <alignment horizontal="center" vertical="center"/>
    </xf>
    <xf fontId="16" fillId="0" borderId="0" xfId="0">
      <alignment horizontal="center" vertical="center"/>
    </xf>
    <xf numFmtId="0" fontId="16" fillId="0" borderId="0" xfId="0">
      <alignment vertical="center"/>
    </xf>
    <xf fontId="17" fillId="0" borderId="0" xfId="0">
      <alignment vertical="center" textRotation="0"/>
    </xf>
    <xf fontId="16" fillId="0" borderId="2" xfId="0">
      <alignment horizontal="center" vertical="center"/>
    </xf>
    <xf fontId="16" fillId="0" borderId="0" xfId="0">
      <alignment vertical="center"/>
    </xf>
    <xf fontId="0" fillId="0" borderId="3" xfId="0">
      <alignment vertical="center"/>
    </xf>
    <xf fontId="0" fillId="0" borderId="4" xfId="0">
      <alignment vertical="center"/>
    </xf>
    <xf numFmtId="0" fontId="8" fillId="9" borderId="1" xfId="0">
      <alignment horizontal="center" vertical="center"/>
    </xf>
    <xf fontId="16" fillId="0" borderId="0" xfId="0">
      <alignment vertical="center" textRotation="0"/>
    </xf>
    <xf numFmtId="0" fontId="18" fillId="8" borderId="1" xfId="1" applyNumberFormat="1" applyFont="1" applyFill="1" applyBorder="1" applyAlignment="1">
      <alignment horizontal="center" vertical="center" wrapText="1"/>
    </xf>
    <xf numFmtId="0" fontId="18" fillId="9" borderId="53" xfId="1" applyNumberFormat="1" applyFont="1" applyAlignment="1">
      <alignment horizontal="center" vertical="center" wrapText="1"/>
    </xf>
    <xf numFmtId="300" fontId="19" fillId="9" borderId="53" xfId="1" applyFont="1">
      <alignment vertical="center"/>
    </xf>
    <xf numFmtId="300" fontId="20" fillId="8" borderId="5" xfId="0" applyFont="1" applyFill="1" applyBorder="1" applyAlignment="1">
      <alignment horizontal="center" vertical="center"/>
    </xf>
    <xf numFmtId="300" fontId="20" fillId="8" borderId="6" xfId="0" applyFont="1" applyFill="1" applyBorder="1" applyAlignment="1">
      <alignment horizontal="center" vertical="center"/>
    </xf>
    <xf numFmtId="49" fontId="20" fillId="8" borderId="7" xfId="0" applyNumberFormat="1" applyFont="1" applyFill="1" applyBorder="1" applyAlignment="1">
      <alignment horizontal="center" vertical="center"/>
    </xf>
    <xf fontId="21" fillId="9" borderId="0" xfId="0">
      <alignment horizontal="center" vertical="center"/>
    </xf>
    <xf numFmtId="49" fontId="22" fillId="27" borderId="8" xfId="0">
      <alignment horizontal="center" vertical="center"/>
    </xf>
    <xf fontId="23" fillId="27" borderId="9" xfId="0">
      <alignment horizontal="center" vertical="center" wrapText="1"/>
    </xf>
    <xf fontId="22" fillId="27" borderId="9" xfId="0">
      <alignment horizontal="center" vertical="center"/>
    </xf>
    <xf fontId="4" fillId="27" borderId="9" xfId="0">
      <alignment horizontal="left" vertical="center"/>
    </xf>
    <xf fontId="4" fillId="28" borderId="9" xfId="0">
      <alignment horizontal="center" vertical="center"/>
    </xf>
    <xf fontId="3" fillId="28" borderId="10" xfId="0">
      <alignment horizontal="center" vertical="center"/>
    </xf>
    <xf fontId="21" fillId="28" borderId="0" xfId="0">
      <alignment horizontal="center" vertical="center"/>
    </xf>
    <xf fontId="24" fillId="29" borderId="5" xfId="0">
      <alignment horizontal="center" vertical="center" textRotation="0"/>
    </xf>
    <xf fontId="7" fillId="30" borderId="6" xfId="0">
      <alignment horizontal="center" vertical="center" textRotation="0"/>
    </xf>
    <xf numFmtId="49" fontId="7" fillId="31" borderId="7" xfId="0">
      <alignment vertical="center" textRotation="0"/>
    </xf>
    <xf fontId="25" fillId="9" borderId="0" xfId="0">
      <alignment vertical="center"/>
    </xf>
    <xf fontId="4" fillId="28" borderId="11" xfId="0">
      <alignment horizontal="left" vertical="center" textRotation="0"/>
    </xf>
    <xf fontId="4" fillId="27" borderId="1" xfId="0">
      <alignment horizontal="center" vertical="center"/>
    </xf>
    <xf fontId="4" fillId="27" borderId="1" xfId="0">
      <alignment vertical="center" wrapText="1"/>
    </xf>
    <xf fontId="4" fillId="27" borderId="1" xfId="0">
      <alignment vertical="center"/>
    </xf>
    <xf fontId="4" fillId="27" borderId="1" xfId="0">
      <alignment vertical="center" wrapText="0"/>
    </xf>
    <xf fontId="4" fillId="28" borderId="12" xfId="0">
      <alignment vertical="center"/>
    </xf>
    <xf numFmtId="0" fontId="26" fillId="8" borderId="13" xfId="0">
      <alignment vertical="center"/>
    </xf>
    <xf numFmtId="0" fontId="26" fillId="8" borderId="14" xfId="0">
      <alignment vertical="center"/>
    </xf>
    <xf numFmtId="49" fontId="27" fillId="31" borderId="15" xfId="0">
      <alignment vertical="center" textRotation="0"/>
    </xf>
    <xf numFmtId="49" fontId="6" fillId="32" borderId="16" xfId="0">
      <alignment horizontal="center" vertical="center"/>
    </xf>
    <xf fontId="6" fillId="0" borderId="17" xfId="0">
      <alignment horizontal="center" vertical="center"/>
    </xf>
    <xf fontId="28" fillId="0" borderId="17" xfId="0">
      <alignment vertical="center" wrapText="1"/>
    </xf>
    <xf fontId="28" fillId="0" borderId="18" xfId="0">
      <alignment vertical="center" wrapText="1"/>
    </xf>
    <xf fontId="29" fillId="0" borderId="17" xfId="0">
      <alignment vertical="center" wrapText="0"/>
    </xf>
    <xf numFmtId="0" fontId="30" fillId="9" borderId="19" xfId="0">
      <alignment vertical="center"/>
    </xf>
    <xf numFmtId="0" fontId="26" fillId="8" borderId="20" xfId="0">
      <alignment vertical="center"/>
    </xf>
    <xf numFmtId="0" fontId="26" fillId="8" borderId="1" xfId="0">
      <alignment vertical="center"/>
    </xf>
    <xf numFmtId="49" fontId="27" fillId="31" borderId="21" xfId="0">
      <alignment vertical="center" textRotation="0"/>
    </xf>
    <xf numFmtId="0" fontId="8" fillId="8" borderId="22" xfId="0">
      <alignment vertical="center"/>
    </xf>
    <xf fontId="0" fillId="0" borderId="23" xfId="0">
      <alignment vertical="center"/>
    </xf>
    <xf fontId="0" fillId="0" borderId="24" xfId="0">
      <alignment vertical="center"/>
    </xf>
    <xf numFmtId="0" fontId="8" fillId="8" borderId="25" xfId="0">
      <alignment vertical="center"/>
    </xf>
    <xf fontId="28" fillId="0" borderId="24" xfId="0">
      <alignment vertical="center"/>
    </xf>
    <xf numFmtId="0" fontId="30" fillId="9" borderId="26" xfId="0">
      <alignment vertical="center"/>
    </xf>
    <xf numFmtId="49" fontId="27" fillId="23" borderId="21" xfId="0">
      <alignment vertical="center" textRotation="0"/>
    </xf>
    <xf numFmtId="49" fontId="30" fillId="0" borderId="27" xfId="0">
      <alignment horizontal="center" vertical="center"/>
    </xf>
    <xf fontId="30" fillId="0" borderId="0" xfId="0">
      <alignment horizontal="center" vertical="center"/>
    </xf>
    <xf fontId="28" fillId="0" borderId="0" xfId="0">
      <alignment vertical="center"/>
    </xf>
    <xf fontId="31" fillId="0" borderId="0" xfId="0">
      <alignment vertical="center" wrapText="1"/>
    </xf>
    <xf numFmtId="0" fontId="30" fillId="8" borderId="12" xfId="0">
      <alignment vertical="center"/>
    </xf>
    <xf numFmtId="49" fontId="30" fillId="32" borderId="27" xfId="0">
      <alignment horizontal="center" vertical="center"/>
    </xf>
    <xf fontId="30" fillId="32" borderId="0" xfId="0">
      <alignment horizontal="center" vertical="center"/>
    </xf>
    <xf fontId="28" fillId="32" borderId="0" xfId="0">
      <alignment vertical="center"/>
    </xf>
    <xf fontId="31" fillId="32" borderId="0" xfId="0">
      <alignment vertical="center"/>
    </xf>
    <xf fontId="0" fillId="0" borderId="12" xfId="0">
      <alignment vertical="center"/>
    </xf>
    <xf fontId="27" fillId="30" borderId="5" xfId="0">
      <alignment horizontal="center" vertical="center" textRotation="0"/>
    </xf>
    <xf fontId="27" fillId="30" borderId="6" xfId="0">
      <alignment horizontal="center" vertical="center" textRotation="0"/>
    </xf>
    <xf numFmtId="49" fontId="27" fillId="31" borderId="7" xfId="0">
      <alignment vertical="center" textRotation="0"/>
    </xf>
    <xf fontId="31" fillId="0" borderId="0" xfId="0">
      <alignment vertical="center"/>
    </xf>
    <xf numFmtId="0" fontId="28" fillId="0" borderId="0" xfId="0">
      <alignment vertical="center"/>
    </xf>
    <xf numFmtId="49" fontId="27" fillId="30" borderId="7" xfId="0">
      <alignment vertical="center" textRotation="0"/>
    </xf>
    <xf numFmtId="49" fontId="30" fillId="30" borderId="27" xfId="0">
      <alignment horizontal="center" vertical="center"/>
    </xf>
    <xf fontId="28" fillId="0" borderId="0" xfId="0">
      <alignment vertical="center"/>
    </xf>
    <xf fontId="31" fillId="0" borderId="0" xfId="0">
      <alignment vertical="center"/>
    </xf>
    <xf numFmtId="0" fontId="30" fillId="9" borderId="12" xfId="0">
      <alignment vertical="center"/>
    </xf>
    <xf numFmtId="49" fontId="27" fillId="0" borderId="15" xfId="0">
      <alignment vertical="center" textRotation="0"/>
    </xf>
    <xf numFmtId="49" fontId="30" fillId="32" borderId="28" xfId="0">
      <alignment horizontal="center" vertical="center"/>
    </xf>
    <xf fontId="28" fillId="32" borderId="0" xfId="0">
      <alignment vertical="center"/>
    </xf>
    <xf fontId="31" fillId="32" borderId="0" xfId="0">
      <alignment vertical="center"/>
    </xf>
    <xf fontId="7" fillId="33" borderId="12" xfId="0">
      <alignment vertical="center"/>
    </xf>
    <xf numFmtId="49" fontId="27" fillId="0" borderId="21" xfId="0">
      <alignment vertical="center" textRotation="0"/>
    </xf>
    <xf numFmtId="49" fontId="30" fillId="31" borderId="29" xfId="0">
      <alignment horizontal="center" vertical="center"/>
    </xf>
    <xf fontId="29" fillId="0" borderId="0" xfId="0">
      <alignment vertical="center"/>
    </xf>
    <xf fontId="7" fillId="0" borderId="0" xfId="0">
      <alignment vertical="center"/>
    </xf>
    <xf numFmtId="49" fontId="30" fillId="34" borderId="29" xfId="0">
      <alignment horizontal="center" vertical="center"/>
    </xf>
    <xf fontId="30" fillId="33" borderId="0" xfId="0">
      <alignment horizontal="center" vertical="center"/>
    </xf>
    <xf fontId="28" fillId="30" borderId="0" xfId="0">
      <alignment vertical="center"/>
    </xf>
    <xf fontId="31" fillId="30" borderId="0" xfId="0">
      <alignment vertical="center"/>
    </xf>
    <xf numFmtId="0" fontId="28" fillId="0" borderId="0" xfId="0">
      <alignment vertical="center"/>
    </xf>
    <xf numFmtId="49" fontId="30" fillId="31" borderId="30" xfId="0">
      <alignment horizontal="center" vertical="center"/>
    </xf>
    <xf fontId="30" fillId="8" borderId="0" xfId="0">
      <alignment horizontal="center" vertical="center"/>
    </xf>
    <xf fontId="31" fillId="8" borderId="0" xfId="0">
      <alignment vertical="center"/>
    </xf>
    <xf numFmtId="49" fontId="30" fillId="31" borderId="11" xfId="0">
      <alignment horizontal="center" vertical="center"/>
    </xf>
    <xf numFmtId="0" fontId="32" fillId="8" borderId="31" xfId="0">
      <alignment vertical="center"/>
    </xf>
    <xf fontId="33" fillId="0" borderId="0" xfId="0">
      <alignment vertical="center"/>
    </xf>
    <xf fontId="30" fillId="30" borderId="0" xfId="0">
      <alignment horizontal="center" vertical="center"/>
    </xf>
    <xf numFmtId="49" fontId="27" fillId="23" borderId="7" xfId="0">
      <alignment vertical="center" textRotation="0"/>
    </xf>
    <xf numFmtId="49" fontId="27" fillId="23" borderId="15" xfId="0">
      <alignment vertical="center" textRotation="0"/>
    </xf>
    <xf numFmtId="49" fontId="30" fillId="23" borderId="11" xfId="0">
      <alignment horizontal="center" vertical="center"/>
    </xf>
    <xf numFmtId="49" fontId="30" fillId="35" borderId="11" xfId="0">
      <alignment horizontal="center" vertical="center"/>
    </xf>
    <xf fontId="6" fillId="30" borderId="12" xfId="0">
      <alignment vertical="center"/>
    </xf>
    <xf fontId="34" fillId="0" borderId="0" xfId="0">
      <alignment vertical="center"/>
    </xf>
    <xf numFmtId="49" fontId="30" fillId="23" borderId="22" xfId="0">
      <alignment horizontal="center" vertical="center"/>
    </xf>
    <xf fontId="30" fillId="0" borderId="24" xfId="0">
      <alignment horizontal="center" vertical="center"/>
    </xf>
    <xf fontId="28" fillId="0" borderId="24" xfId="0">
      <alignment vertical="center"/>
    </xf>
    <xf fontId="31" fillId="0" borderId="24" xfId="0">
      <alignment vertical="center"/>
    </xf>
    <xf numFmtId="49" fontId="7" fillId="35" borderId="21" xfId="0">
      <alignment vertical="center" textRotation="0"/>
    </xf>
    <xf fontId="27" fillId="30" borderId="5" xfId="0">
      <alignment horizontal="center" vertical="center" textRotation="0" wrapText="1"/>
    </xf>
    <xf fontId="27" fillId="30" borderId="6" xfId="0">
      <alignment horizontal="center" vertical="center" textRotation="0" wrapText="1"/>
    </xf>
    <xf fontId="27" fillId="0" borderId="13" xfId="0">
      <alignment vertical="center"/>
    </xf>
    <xf fontId="27" fillId="0" borderId="14" xfId="0">
      <alignment vertical="center"/>
    </xf>
    <xf fontId="0" fillId="0" borderId="20" xfId="0">
      <alignment vertical="center"/>
    </xf>
    <xf fontId="0" fillId="0" borderId="1" xfId="0">
      <alignment vertical="center"/>
    </xf>
    <xf fontId="0" fillId="0" borderId="5" xfId="0">
      <alignment horizontal="center" vertical="center" textRotation="0"/>
    </xf>
    <xf fontId="0" fillId="0" borderId="6" xfId="0">
      <alignment horizontal="center" vertical="center" textRotation="0"/>
    </xf>
    <xf numFmtId="49" fontId="7" fillId="30" borderId="7" xfId="0">
      <alignment vertical="center" textRotation="0"/>
    </xf>
    <xf numFmtId="49" fontId="7" fillId="0" borderId="15" xfId="0">
      <alignment vertical="center" textRotation="0"/>
    </xf>
    <xf numFmtId="49" fontId="7" fillId="31" borderId="21" xfId="0">
      <alignment vertical="center" textRotation="0"/>
    </xf>
    <xf numFmtId="49" fontId="7" fillId="23" borderId="7" xfId="0">
      <alignment vertical="center" textRotation="0"/>
    </xf>
    <xf numFmtId="0" fontId="35" fillId="8" borderId="13" xfId="0">
      <alignment vertical="center"/>
    </xf>
    <xf numFmtId="0" fontId="8" fillId="8" borderId="14" xfId="0">
      <alignment vertical="center"/>
    </xf>
    <xf numFmtId="0" fontId="35" fillId="8" borderId="20" xfId="0">
      <alignment vertical="center"/>
    </xf>
    <xf numFmtId="0" fontId="32" fillId="8" borderId="1" xfId="0">
      <alignment vertical="center"/>
    </xf>
    <xf numFmtId="49" fontId="7" fillId="23" borderId="21" xfId="0">
      <alignment vertical="center" textRotation="0"/>
    </xf>
    <xf fontId="36" fillId="30" borderId="5" xfId="0">
      <alignment horizontal="center" vertical="center" textRotation="0"/>
    </xf>
    <xf fontId="37" fillId="30" borderId="6" xfId="0">
      <alignment horizontal="center" vertical="center" textRotation="0"/>
    </xf>
    <xf numFmtId="0" fontId="38" fillId="8" borderId="13" xfId="0">
      <alignment vertical="center"/>
    </xf>
    <xf numFmtId="0" fontId="38" fillId="8" borderId="14" xfId="0">
      <alignment vertical="center"/>
    </xf>
    <xf numFmtId="49" fontId="39" fillId="0" borderId="15" xfId="0">
      <alignment vertical="center" textRotation="0"/>
    </xf>
    <xf numFmtId="0" fontId="38" fillId="8" borderId="20" xfId="0">
      <alignment vertical="center"/>
    </xf>
    <xf numFmtId="0" fontId="38" fillId="8" borderId="1" xfId="0">
      <alignment vertical="center"/>
    </xf>
    <xf fontId="40" fillId="30" borderId="5" xfId="0">
      <alignment horizontal="center" vertical="center" textRotation="0"/>
    </xf>
    <xf fontId="39" fillId="30" borderId="6" xfId="0">
      <alignment horizontal="center" vertical="center" textRotation="0"/>
    </xf>
    <xf fontId="7" fillId="0" borderId="13" xfId="0">
      <alignment vertical="center"/>
    </xf>
    <xf fontId="39" fillId="0" borderId="14" xfId="0">
      <alignment vertical="center"/>
    </xf>
    <xf numFmtId="49" fontId="6" fillId="31" borderId="15" xfId="0">
      <alignment vertical="center" textRotation="0"/>
    </xf>
    <xf numFmtId="49" fontId="7" fillId="35" borderId="21" xfId="0">
      <alignment vertical="center" textRotation="0"/>
    </xf>
    <xf numFmtId="49" fontId="7" fillId="33" borderId="7" xfId="0">
      <alignment vertical="center" textRotation="0"/>
    </xf>
    <xf numFmtId="0" fontId="8" fillId="9" borderId="13" xfId="0">
      <alignment vertical="center"/>
    </xf>
    <xf numFmtId="0" fontId="8" fillId="9" borderId="14" xfId="0">
      <alignment vertical="center"/>
    </xf>
    <xf numFmtId="49" fontId="7" fillId="29" borderId="15" xfId="0">
      <alignment vertical="center" textRotation="0"/>
    </xf>
    <xf numFmtId="0" fontId="32" fillId="8" borderId="20" xfId="0">
      <alignment vertical="center"/>
    </xf>
    <xf numFmtId="0" fontId="32" fillId="8" borderId="1" xfId="0">
      <alignment vertical="center"/>
    </xf>
    <xf numFmtId="49" fontId="7" fillId="34" borderId="21" xfId="0">
      <alignment vertical="center" textRotation="0"/>
    </xf>
    <xf fontId="37" fillId="30" borderId="5" xfId="0">
      <alignment horizontal="center" vertical="center" textRotation="0"/>
    </xf>
    <xf fontId="37" fillId="30" borderId="6" xfId="0">
      <alignment horizontal="center" vertical="center" textRotation="0"/>
    </xf>
    <xf numFmtId="49" fontId="7" fillId="34" borderId="7" xfId="0">
      <alignment vertical="center" textRotation="0"/>
    </xf>
    <xf numFmtId="0" fontId="7" fillId="9" borderId="32" xfId="0" applyNumberFormat="1" applyFont="1" applyFill="1" applyBorder="1" applyAlignment="1">
      <alignment horizontal="center" vertical="center"/>
    </xf>
    <xf numFmtId="0" fontId="7" fillId="9" borderId="33" xfId="0" applyNumberFormat="1" applyFont="1" applyFill="1" applyBorder="1" applyAlignment="1">
      <alignment horizontal="center" vertical="center"/>
    </xf>
    <xf numFmtId="49" fontId="7" fillId="35" borderId="34" xfId="0" applyNumberFormat="1" applyFont="1" applyFill="1" applyBorder="1" applyAlignment="1">
      <alignment vertical="center"/>
    </xf>
    <xf numFmtId="300" fontId="41" fillId="0" borderId="53" xfId="0" applyFont="1" applyAlignment="1">
      <alignment horizontal="center" vertical="center"/>
    </xf>
    <xf numFmtId="49" fontId="41" fillId="0" borderId="53" xfId="0" applyNumberFormat="1" applyFont="1">
      <alignment vertical="center"/>
    </xf>
    <xf numFmtId="300" fontId="30" fillId="0" borderId="53" xfId="0" applyFont="1">
      <alignment vertical="center"/>
    </xf>
    <xf numFmtId="300" fontId="30" fillId="0" borderId="53" xfId="0" applyFont="1" applyAlignment="1">
      <alignment horizontal="center" vertical="center"/>
    </xf>
    <xf numFmtId="300" fontId="42" fillId="36" borderId="35" xfId="0" applyFont="1" applyFill="1" applyBorder="1">
      <alignment vertical="center"/>
    </xf>
    <xf fontId="6" fillId="0" borderId="0" xfId="0">
      <alignment vertical="center"/>
    </xf>
    <xf fontId="27" fillId="0" borderId="1" xfId="0">
      <alignment horizontal="center" vertical="center" textRotation="0"/>
    </xf>
    <xf numFmtId="49" fontId="27" fillId="0" borderId="0" xfId="0">
      <alignment vertical="center" textRotation="0"/>
    </xf>
    <xf numFmtId="300" fontId="30" fillId="0" borderId="53" xfId="0" applyFont="1" applyAlignment="1">
      <alignment horizontal="left" vertical="center"/>
    </xf>
    <xf numFmtId="300" fontId="9" fillId="0" borderId="53" xfId="0" applyFont="1">
      <alignment vertical="center"/>
    </xf>
    <xf fontId="27" fillId="30" borderId="1" xfId="0">
      <alignment horizontal="center" vertical="center" textRotation="0"/>
    </xf>
    <xf numFmtId="300" fontId="30" fillId="8" borderId="53" xfId="0" applyFont="1" applyFill="1" applyAlignment="1">
      <alignment horizontal="left" vertical="center"/>
    </xf>
    <xf numFmtId="300" fontId="30" fillId="8" borderId="53" xfId="0" applyFont="1" applyFill="1" applyAlignment="1">
      <alignment horizontal="center" vertical="center"/>
    </xf>
    <xf numFmtId="300" fontId="9" fillId="8" borderId="53" xfId="0" applyFont="1" applyFill="1">
      <alignment vertical="center"/>
    </xf>
    <xf numFmtId="300" fontId="30" fillId="32" borderId="53" xfId="0" applyFont="1" applyFill="1" applyAlignment="1">
      <alignment horizontal="left" vertical="center"/>
    </xf>
    <xf numFmtId="300" fontId="30" fillId="32" borderId="53" xfId="0" applyFont="1" applyFill="1" applyAlignment="1">
      <alignment horizontal="center" vertical="center"/>
    </xf>
    <xf numFmtId="300" fontId="9" fillId="32" borderId="53" xfId="0" applyFont="1" applyFill="1">
      <alignment vertical="center"/>
    </xf>
    <xf fontId="27" fillId="0" borderId="0" xfId="0">
      <alignment horizontal="center" vertical="center" textRotation="0"/>
    </xf>
    <xf fontId="27" fillId="30" borderId="0" xfId="0">
      <alignment horizontal="center" vertical="center" textRotation="0"/>
    </xf>
    <xf numFmtId="0" fontId="41" fillId="8" borderId="0" xfId="0">
      <alignment horizontal="center" vertical="center"/>
    </xf>
    <xf fontId="6" fillId="0" borderId="0" xfId="0">
      <alignment horizontal="center" vertical="center"/>
    </xf>
    <xf numFmtId="0" fontId="41" fillId="20" borderId="0" xfId="0">
      <alignment horizontal="center" vertical="center"/>
    </xf>
    <xf numFmtId="0" fontId="30" fillId="8" borderId="0" xfId="0">
      <alignment horizontal="center" vertical="center"/>
    </xf>
    <xf numFmtId="49" fontId="7" fillId="0" borderId="0" xfId="0">
      <alignment vertical="center" textRotation="0"/>
    </xf>
    <xf numFmtId="0" fontId="43" fillId="8" borderId="0" xfId="0">
      <alignment horizontal="center" vertical="center"/>
    </xf>
    <xf numFmtId="0" fontId="44" fillId="8" borderId="0" xfId="0">
      <alignment horizontal="center" vertical="center"/>
    </xf>
    <xf numFmtId="49" fontId="39" fillId="0" borderId="0" xfId="0">
      <alignment vertical="center" textRotation="0"/>
    </xf>
    <xf numFmtId="49" fontId="7" fillId="29" borderId="0" xfId="0">
      <alignment vertical="center" textRotation="0"/>
    </xf>
    <xf numFmtId="49" fontId="7" fillId="29" borderId="0" xfId="0">
      <alignment vertical="center" textRotation="0"/>
    </xf>
    <xf numFmtId="0" fontId="30" fillId="9" borderId="0" xfId="0">
      <alignment horizontal="center" vertical="center"/>
    </xf>
    <xf numFmtId="49" fontId="7" fillId="8" borderId="53" xfId="0" applyNumberFormat="1" applyFont="1" applyFill="1" applyAlignment="1">
      <alignment vertical="center"/>
    </xf>
    <xf fontId="0" fillId="0" borderId="0" xfId="0">
      <alignment vertical="center" wrapText="1"/>
    </xf>
    <xf fontId="45" fillId="0" borderId="0" xfId="0">
      <alignment vertical="center" wrapText="1"/>
    </xf>
    <xf fontId="45" fillId="0" borderId="0" xfId="0">
      <alignment vertical="center" wrapText="0"/>
    </xf>
    <xf fontId="46" fillId="0" borderId="0" xfId="0">
      <alignment vertical="center" wrapText="1"/>
    </xf>
    <xf fontId="0" fillId="0" borderId="0" xfId="0">
      <alignment horizontal="left" vertical="center" wrapText="1"/>
    </xf>
    <xf fontId="0" fillId="0" borderId="1" xfId="0">
      <alignment horizontal="left" vertical="center" wrapText="1"/>
    </xf>
    <xf fontId="47" fillId="0" borderId="1" xfId="0">
      <alignment vertical="center" wrapText="1"/>
    </xf>
    <xf fontId="3" fillId="26" borderId="0" xfId="0">
      <alignment vertical="center"/>
    </xf>
    <xf fontId="3" fillId="37" borderId="0" xfId="0">
      <alignment vertical="center"/>
    </xf>
    <xf fontId="3" fillId="26" borderId="0" xfId="0">
      <alignment horizontal="center" vertical="center"/>
    </xf>
    <xf fontId="6" fillId="0" borderId="16" xfId="0">
      <alignment horizontal="center" vertical="center"/>
    </xf>
    <xf fontId="48" fillId="0" borderId="36" xfId="0">
      <alignment vertical="center"/>
    </xf>
    <xf fontId="6" fillId="38" borderId="17" xfId="0">
      <alignment horizontal="center" vertical="center"/>
    </xf>
    <xf fontId="6" fillId="38" borderId="19" xfId="0">
      <alignment horizontal="center" vertical="center"/>
    </xf>
    <xf fontId="0" fillId="0" borderId="11" xfId="0">
      <alignment vertical="center"/>
    </xf>
    <xf fontId="6" fillId="38" borderId="2" xfId="0">
      <alignment horizontal="center" vertical="center"/>
    </xf>
    <xf fontId="6" fillId="38" borderId="12" xfId="0">
      <alignment horizontal="center" vertical="center"/>
    </xf>
    <xf numFmtId="0" fontId="30" fillId="9" borderId="1" xfId="0">
      <alignment vertical="center"/>
    </xf>
    <xf fontId="6" fillId="38" borderId="37" xfId="0">
      <alignment horizontal="center" vertical="center"/>
    </xf>
    <xf numFmtId="0" fontId="6" fillId="38" borderId="12" xfId="0">
      <alignment horizontal="center" vertical="center"/>
    </xf>
    <xf fontId="6" fillId="0" borderId="1" xfId="0">
      <alignment vertical="center"/>
    </xf>
    <xf fontId="6" fillId="38" borderId="1" xfId="0">
      <alignment horizontal="center" vertical="center"/>
    </xf>
    <xf fontId="7" fillId="39" borderId="1" xfId="0">
      <alignment horizontal="center" vertical="center"/>
    </xf>
    <xf fontId="0" fillId="0" borderId="16" xfId="0">
      <alignment horizontal="center" vertical="center"/>
    </xf>
    <xf fontId="49" fillId="0" borderId="36" xfId="0">
      <alignment vertical="center"/>
    </xf>
    <xf fontId="0" fillId="40" borderId="17" xfId="0">
      <alignment horizontal="center" vertical="center"/>
    </xf>
    <xf fontId="0" fillId="40" borderId="19" xfId="0">
      <alignment horizontal="center" vertical="center"/>
    </xf>
    <xf fontId="0" fillId="0" borderId="38" xfId="0">
      <alignment vertical="center"/>
    </xf>
    <xf fontId="49" fillId="0" borderId="39" xfId="0">
      <alignment vertical="center"/>
    </xf>
    <xf fontId="0" fillId="41" borderId="2" xfId="0">
      <alignment horizontal="center" vertical="center"/>
    </xf>
    <xf fontId="0" fillId="40" borderId="12" xfId="0">
      <alignment horizontal="center" vertical="center"/>
    </xf>
    <xf numFmtId="0" fontId="50" fillId="9" borderId="1" xfId="0">
      <alignment vertical="center"/>
    </xf>
    <xf fontId="0" fillId="0" borderId="40" xfId="0">
      <alignment vertical="center"/>
    </xf>
    <xf fontId="6" fillId="0" borderId="24" xfId="0">
      <alignment vertical="center"/>
    </xf>
    <xf fontId="0" fillId="40" borderId="24" xfId="0">
      <alignment horizontal="center" vertical="center"/>
    </xf>
    <xf fontId="0" fillId="40" borderId="26" xfId="0">
      <alignment horizontal="center" vertical="center"/>
    </xf>
    <xf fontId="0" fillId="0" borderId="11" xfId="0">
      <alignment horizontal="center" vertical="center" wrapText="1"/>
    </xf>
    <xf fontId="51" fillId="42" borderId="1" xfId="0">
      <alignment horizontal="center" vertical="center"/>
    </xf>
    <xf fontId="51" fillId="42" borderId="12" xfId="0">
      <alignment horizontal="center" vertical="center"/>
    </xf>
    <xf fontId="51" fillId="43" borderId="0" xfId="0">
      <alignment horizontal="center" vertical="center"/>
    </xf>
    <xf fontId="0" fillId="0" borderId="41" xfId="0">
      <alignment vertical="center"/>
    </xf>
    <xf fontId="0" fillId="0" borderId="17" xfId="0">
      <alignment vertical="center"/>
    </xf>
    <xf fontId="0" fillId="0" borderId="19" xfId="0">
      <alignment vertical="center"/>
    </xf>
    <xf fontId="0" fillId="0" borderId="12" xfId="0">
      <alignment vertical="center"/>
    </xf>
    <xf fontId="0" fillId="0" borderId="26" xfId="0">
      <alignment vertical="center"/>
    </xf>
    <xf fontId="0" fillId="0" borderId="1" xfId="0">
      <alignment horizontal="center" vertical="center"/>
    </xf>
    <xf fontId="3" fillId="44" borderId="0" xfId="0">
      <alignment horizontal="center" vertical="center"/>
    </xf>
    <xf fontId="3" fillId="44" borderId="0" xfId="0">
      <alignment vertical="center"/>
    </xf>
    <xf fontId="52" fillId="8" borderId="0" xfId="0">
      <alignment vertical="center"/>
    </xf>
    <xf fontId="53" fillId="9" borderId="0" xfId="0">
      <alignment vertical="center"/>
    </xf>
    <xf fontId="54" fillId="9" borderId="0" xfId="0">
      <alignment vertical="center"/>
    </xf>
    <xf fontId="55" fillId="9" borderId="0" xfId="0">
      <alignment vertical="center"/>
    </xf>
    <xf fontId="3" fillId="45" borderId="0" xfId="0">
      <alignment horizontal="center" vertical="center"/>
    </xf>
    <xf fontId="56" fillId="9" borderId="0" xfId="0">
      <alignment vertical="center"/>
    </xf>
    <xf fontId="49" fillId="9" borderId="0" xfId="0">
      <alignment vertical="center"/>
    </xf>
    <xf fontId="57" fillId="45" borderId="0" xfId="0">
      <alignment vertical="center"/>
    </xf>
    <xf fontId="57" fillId="37" borderId="0" xfId="0">
      <alignment vertical="center"/>
    </xf>
    <xf fontId="0" fillId="0" borderId="16" xfId="0">
      <alignment horizontal="center" vertical="center" wrapText="1"/>
    </xf>
    <xf fontId="58" fillId="46" borderId="42" xfId="0">
      <alignment vertical="center"/>
    </xf>
    <xf fontId="58" fillId="46" borderId="43" xfId="0">
      <alignment vertical="center"/>
    </xf>
    <xf fontId="0" fillId="47" borderId="44" xfId="0">
      <alignment vertical="center"/>
    </xf>
    <xf fontId="0" fillId="0" borderId="45" xfId="0">
      <alignment vertical="center"/>
    </xf>
    <xf fontId="0" fillId="47" borderId="46" xfId="0">
      <alignment vertical="center"/>
    </xf>
    <xf fontId="0" fillId="0" borderId="47" xfId="0">
      <alignment vertical="center"/>
    </xf>
    <xf fontId="0" fillId="48" borderId="48" xfId="0">
      <alignment vertical="center"/>
    </xf>
    <xf fontId="0" fillId="48" borderId="49" xfId="0">
      <alignment vertical="center"/>
    </xf>
    <xf fontId="59" fillId="49" borderId="0" xfId="0">
      <alignment horizontal="center" vertical="center"/>
    </xf>
    <xf fontId="60" fillId="37" borderId="0" xfId="0">
      <alignment horizontal="center" vertical="center"/>
    </xf>
    <xf fontId="25" fillId="50" borderId="0" xfId="0">
      <alignment vertical="center"/>
    </xf>
    <xf numFmtId="300" fontId="7" fillId="9" borderId="50" xfId="0" applyNumberFormat="1" applyFont="1" applyFill="1" applyBorder="1" applyAlignment="1">
      <alignment horizontal="center" vertical="center"/>
    </xf>
    <xf numFmtId="300" fontId="7" fillId="9" borderId="51" xfId="0" applyNumberFormat="1" applyFont="1" applyFill="1" applyBorder="1" applyAlignment="1">
      <alignment horizontal="center" vertical="center"/>
    </xf>
    <xf numFmtId="301" fontId="7" fillId="9" borderId="52" xfId="0" applyNumberFormat="1" applyFont="1" applyFill="1" applyBorder="1" applyAlignment="1">
      <alignment vertical="center"/>
    </xf>
    <xf numFmtId="301" fontId="6" fillId="0" borderId="0" xfId="0">
      <alignment vertical="center"/>
    </xf>
    <xf fontId="3" fillId="45" borderId="0" xfId="0">
      <alignment vertical="center"/>
    </xf>
    <xf fontId="52" fillId="51" borderId="0" xfId="0">
      <alignment vertical="center"/>
    </xf>
    <xf fontId="56" fillId="51" borderId="0" xfId="0">
      <alignment vertical="center"/>
    </xf>
  </cellXfs>
  <cellStyles>
    <cellStyle name="常规" xfId="0" builtinId="0"/>
    <cellStyle name="超链接" xfId="1" builtinId="8"/>
  </cellStyles>
</styleSheet>
</file>

<file path=xl/_rels/workbook.xml.rels><?xml version="1.0" encoding="UTF-8" standalone="yes"?><Relationships xmlns="http://schemas.openxmlformats.org/package/2006/relationships"><Relationship Id="rId8" Type="http://schemas.openxmlformats.org/officeDocument/2006/relationships/worksheet" Target="worksheets/sheet4.xml" /><Relationship Id="rId7" Type="http://schemas.openxmlformats.org/officeDocument/2006/relationships/worksheet" Target="worksheets/sheet3.xml" /><Relationship Id="rId6" Type="http://schemas.openxmlformats.org/officeDocument/2006/relationships/worksheet" Target="worksheets/sheet2.xml" /><Relationship Id="rId5" Type="http://schemas.openxmlformats.org/officeDocument/2006/relationships/worksheet" Target="worksheets/sheet1.xml" /><Relationship Id="rId1" Type="http://schemas.openxmlformats.org/officeDocument/2006/relationships/theme" Target="theme/theme1.xml" /><Relationship Id="rId0" Type="http://schemas.openxmlformats.org/officeDocument/2006/relationships/sharedStrings" Target="sharedStrings.xml" /><Relationship Id="rId3" Type="http://schemas.microsoft.com/office/2017/10/relationships/person" Target="persons/person.xml" /><Relationship Id="rId9" Type="http://schemas.openxmlformats.org/officeDocument/2006/relationships/worksheet" Target="worksheets/sheet5.xml" /><Relationship Id="rId4" Type="http://schemas.openxmlformats.org/officeDocument/2006/relationships/pivotCacheDefinition" Target="pivotCache/pivotCacheDefinition1.xml" /><Relationship Id="rId10" Type="http://schemas.openxmlformats.org/officeDocument/2006/relationships/worksheet" Target="worksheets/sheet6.xml" /><Relationship Id="rId2" Type="http://schemas.openxmlformats.org/officeDocument/2006/relationships/styles" Target="styles.xml" /></Relationships>
</file>

<file path=xl/persons/person.xml><?xml version="1.0" encoding="utf-8"?>
<tc2018:personList xmlns:tc2018="http://schemas.microsoft.com/office/spreadsheetml/2018/threadedcomments" xmlns:mc="http://schemas.openxmlformats.org/markup-compatibility/2006" mc:Ignorable="tc2018">
  <tc2018:person displayName="风骅" id="{F756A997-2661-4FE3-B5FB-34262D0FB261}"/>
</tc2018:personList>
</file>

<file path=xl/pivotCache/_rels/pivotCacheDefinition1.xml.rels><?xml version="1.0" encoding="UTF-8" standalone="yes"?><Relationships xmlns="http://schemas.openxmlformats.org/package/2006/relationships"><Relationship Id="rId0" Type="http://schemas.openxmlformats.org/officeDocument/2006/relationships/pivotCacheRecords" Target="pivotCacheRecords1.xml" /></Relationships>
</file>

<file path=xl/pivotCache/pivotCacheDefinition1.xml><?xml version="1.0" encoding="utf-8"?>
<pivotCacheDefinition xmlns:r="http://schemas.openxmlformats.org/officeDocument/2006/relationships" xmlns="http://schemas.openxmlformats.org/spreadsheetml/2006/main" r:id="rId0" invalid="1" refreshOnLoad="1" createdVersion="8">
  <cacheSource type="worksheet">
    <worksheetSource ref="A1:C200" sheet="关卡统计（透视表用）"/>
  </cacheSource>
  <cacheFields>
    <cacheField name="中文名">
      <sharedItems/>
    </cacheField>
    <cacheField name="材料">
      <sharedItems/>
    </cacheField>
    <cacheField name="关卡">
      <sharedItems containsBlank="1">
        <s v="2-6"/>
        <s v="2-7"/>
        <s v="2-11"/>
        <s v="3-12"/>
        <s v="3-21"/>
        <s v="2-16"/>
        <s v="2-22"/>
        <s v="3-19"/>
        <s v="3-31"/>
        <s v="1-4"/>
        <s v="1-7"/>
        <s v="1-12"/>
        <s v="2-25"/>
        <s v="2-27"/>
        <s v="3-26"/>
        <s v="2-5"/>
        <s v="2-12"/>
        <s v="3-4"/>
        <s v="3-7"/>
        <s v="3-33"/>
        <s v="3-24"/>
        <s v="3-35"/>
        <s v="2-2"/>
        <s v="2-19"/>
        <s v="3-2"/>
        <s v="3-29"/>
        <s v="1-13"/>
        <s v="1-17"/>
        <s v="1-9"/>
        <s v="3-9"/>
        <s v="3-17"/>
        <s v="2-24"/>
        <s v="1-2"/>
        <s v="1-11"/>
        <s v="2-29"/>
        <s v="3-14"/>
        <m/>
      </sharedItems>
    </cacheField>
  </cacheFields>
</pivotCacheDefinition>
</file>

<file path=xl/pivotCache/pivotCacheRecords1.xml><?xml version="1.0" encoding="utf-8"?>
<pivotCacheRecords xmlns="http://schemas.openxmlformats.org/spreadsheetml/2006/main"/>
</file>

<file path=xl/pivotTables/_rels/pivotTable1.xml.rels><?xml version="1.0" encoding="UTF-8" standalone="yes"?><Relationships xmlns="http://schemas.openxmlformats.org/package/2006/relationships"><Relationship Id="rId0" Type="http://schemas.openxmlformats.org/officeDocument/2006/relationships/pivotCacheDefinition" Target="../pivotCache/pivotCacheDefinition1.xml" /></Relationships>
</file>

<file path=xl/pivotTables/pivotTable1.xml><?xml version="1.0" encoding="utf-8"?>
<pivotTableDefinition xmlns:x14="http://schemas.microsoft.com/office/spreadsheetml/2009/9/main" xmlns="http://schemas.openxmlformats.org/spreadsheetml/2006/main" name="数据透视表2" cacheId="932" applyNumberFormats="0" applyBorderFormats="0" applyFontFormats="0" applyPatternFormats="0" applyAlignmentFormats="0" applyWidthHeightFormats="1" dataCaption="值" grandTotalCaption="总计" updatedVersion="8" minRefreshableVersion="3" itemPrintTitles="1" createdVersion="8" indent="0" outline="1" outlineData="1" compactData="1" multipleFieldFilters="0">
  <location ref="E1:F39" firstHeaderRow="0" firstDataRow="0" firstDataCol="0"/>
  <pivotFields count="3">
    <pivotField showAll="0"/>
    <pivotField dataField="1" showAll="0"/>
    <pivotField axis="axisRow" showAll="0" sortType="descending">
      <items count="38">
        <item x="33"/>
        <item x="11"/>
        <item x="26"/>
        <item x="27"/>
        <item x="32"/>
        <item x="9"/>
        <item x="10"/>
        <item x="28"/>
        <item x="2"/>
        <item x="16"/>
        <item x="5"/>
        <item x="23"/>
        <item x="22"/>
        <item x="6"/>
        <item x="31"/>
        <item x="12"/>
        <item x="13"/>
        <item x="34"/>
        <item x="15"/>
        <item x="0"/>
        <item x="1"/>
        <item x="3"/>
        <item x="30"/>
        <item x="7"/>
        <item x="24"/>
        <item x="4"/>
        <item x="20"/>
        <item x="14"/>
        <item x="25"/>
        <item x="8"/>
        <item x="19"/>
        <item x="21"/>
        <item x="17"/>
        <item x="18"/>
        <item x="29"/>
        <item x="35"/>
        <item x="36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1">
    <field x="2"/>
  </rowFields>
  <dataFields count="1">
    <dataField name="计数项:材料" fld="1" subtotal="count" baseField="0" baseItem="0"/>
  </dataFields>
  <pivotTableStyleInfo name="PivotStyleLight16" showRowHeaders="1" showColHeaders="1" showRowStripes="0" showColStripes="0" showLastColumn="1"/>
  <extLst>
    <ext uri="{962EF5D1-5CA2-4c93-8EF4-DBF5C05439D2}">
      <x14:pivotTableDefinition hideValuesRow="1"/>
    </ext>
    <ext uri="{747A6164-185A-40DC-8AA5-F01512510D54}"/>
  </extLst>
</pivotTableDefinition>
</file>

<file path=xl/theme/theme1.xml><?xml version="1.0" encoding="utf-8"?>
<a:theme xmlns:thm15="http://schemas.microsoft.com/office/thememl/2012/main" xmlns:a="http://schemas.openxmlformats.org/drawingml/2006/main" xmlns:mc="http://schemas.openxmlformats.org/markup-compatibility/2006" name="Office 主题​​" mc:Ignorable="thm15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name="Office Theme" id="{62F939B6-93AF-4DB8-9C6B-D6C7DFDC589F}" vid="{4A3C46E8-61CC-4603-A589-7422A47A8E4A}"/>
    </a:ext>
  </a:extLst>
</a:theme>
</file>

<file path=xl/threadedComments/threadedComment1.xml><?xml version="1.0" encoding="utf-8"?>
<tc2018:ThreadedComments xmlns:tc2018="http://schemas.microsoft.com/office/spreadsheetml/2018/threadedcomments" xmlns:mc="http://schemas.openxmlformats.org/markup-compatibility/2006" mc:Ignorable="tc2018">
  <tc2018:threadedComment ref="G3" dT="2026-09-28T08:45:58Z" personId="{F756A997-2661-4FE3-B5FB-34262D0FB261}" id="{24C7EEB1-FC2D-4FD7-8DFF-E46A91AD309F}">
    <tc2018:text>水几乎必掉</tc2018:text>
  </tc2018:threadedComment>
  <tc2018:threadedComment ref="E12" dT="2026-09-27T18:07:10Z" personId="{F756A997-2661-4FE3-B5FB-34262D0FB261}" id="{EE61B143-6D1D-4CE9-BA11-530BFA21F89D}">
    <tc2018:text>piya：不要在1-17刷鬼角……我刷到了80多的水，0个鬼角掉落。不过稳定掉水+豆，各自有俩的概率很高</tc2018:text>
  </tc2018:threadedComment>
  <tc2018:threadedComment ref="A2" dT="2026-09-28T08:49:39Z" personId="{F756A997-2661-4FE3-B5FB-34262D0FB261}" id="{01CDEECD-B85C-44A1-9547-FADF19453598}">
    <tc2018:text>敌人是螃蟹的关卡会更容易掉落，乱舞事件中击败确定掉落</tc2018:text>
  </tc2018:threadedComment>
  <tc2018:threadedComment ref="A52" dT="2026-09-28T08:52:52Z" personId="{F756A997-2661-4FE3-B5FB-34262D0FB261}" id="{BD47ADB0-A156-4BFB-9468-06705A2BEEED}">
    <tc2018:text>敌人会生成石头的关卡，击破石头确定掉落</tc2018:text>
  </tc2018:threadedComment>
</tc2018:ThreadedComments>
</file>

<file path=xl/worksheets/_rels/sheet1.xml.rels><?xml version="1.0" encoding="UTF-8" standalone="yes"?><Relationships xmlns="http://schemas.openxmlformats.org/package/2006/relationships"><Relationship Id="rId0" Type="http://schemas.openxmlformats.org/officeDocument/2006/relationships/hyperlink" Target="https://xhslink.cn/o/Vg6kGMX6Xy" TargetMode="External"/></Relationships>
</file>

<file path=xl/worksheets/_rels/sheet2.xml.rels><?xml version="1.0" encoding="UTF-8" standalone="yes"?><Relationships xmlns="http://schemas.openxmlformats.org/package/2006/relationships"><Relationship Id="rId8" Type="http://schemas.openxmlformats.org/officeDocument/2006/relationships/hyperlink" Target="#&apos;&#26448;&#26009;&#26469;&#28304;&apos;!b33:" TargetMode="External"/><Relationship Id="rId6" Type="http://schemas.openxmlformats.org/officeDocument/2006/relationships/hyperlink" Target="#&apos;&#26448;&#26009;&#26469;&#28304;&apos;!b25:" TargetMode="External"/><Relationship Id="rId5" Type="http://schemas.openxmlformats.org/officeDocument/2006/relationships/hyperlink" Target="#&apos;&#26448;&#26009;&#26469;&#28304;&apos;!b17:" TargetMode="External"/><Relationship Id="rId30" Type="http://schemas.openxmlformats.org/officeDocument/2006/relationships/hyperlink" Target="#&apos;&#26448;&#26009;&#26469;&#28304;&apos;!b94:" TargetMode="External"/><Relationship Id="rId29" Type="http://schemas.openxmlformats.org/officeDocument/2006/relationships/hyperlink" Target="#&apos;&#26448;&#26009;&#26469;&#28304;&apos;!b101:" TargetMode="External"/><Relationship Id="rId27" Type="http://schemas.openxmlformats.org/officeDocument/2006/relationships/hyperlink" Target="#&apos;&#26448;&#26009;&#26469;&#28304;&apos;!b131:" TargetMode="External"/><Relationship Id="rId26" Type="http://schemas.openxmlformats.org/officeDocument/2006/relationships/hyperlink" Target="#&apos;&#26448;&#26009;&#26469;&#28304;&apos;!b126:" TargetMode="External"/><Relationship Id="rId25" Type="http://schemas.openxmlformats.org/officeDocument/2006/relationships/hyperlink" Target="#&apos;&#26448;&#26009;&#26469;&#28304;&apos;!b115:" TargetMode="External"/><Relationship Id="rId9" Type="http://schemas.openxmlformats.org/officeDocument/2006/relationships/hyperlink" Target="#&apos;&#26448;&#26009;&#26469;&#28304;&apos;!b39:" TargetMode="External"/><Relationship Id="rId24" Type="http://schemas.openxmlformats.org/officeDocument/2006/relationships/hyperlink" Target="#&apos;&#26448;&#26009;&#26469;&#28304;&apos;!b97:" TargetMode="External"/><Relationship Id="rId13" Type="http://schemas.openxmlformats.org/officeDocument/2006/relationships/hyperlink" Target="#&apos;&#26448;&#26009;&#21512;&#25104;&apos;!c52:" TargetMode="External"/><Relationship Id="rId14" Type="http://schemas.openxmlformats.org/officeDocument/2006/relationships/hyperlink" Target="#&apos;&#26448;&#26009;&#21512;&#25104;&apos;!c56:" TargetMode="External"/><Relationship Id="rId12" Type="http://schemas.openxmlformats.org/officeDocument/2006/relationships/hyperlink" Target="#&apos;&#26448;&#26009;&#26469;&#28304;&apos;!b47:" TargetMode="External"/><Relationship Id="rId1" Type="http://schemas.openxmlformats.org/officeDocument/2006/relationships/hyperlink" Target="#&apos;&#26448;&#26009;&#21512;&#25104;&apos;!c43:" TargetMode="External"/><Relationship Id="rId10" Type="http://schemas.openxmlformats.org/officeDocument/2006/relationships/hyperlink" Target="#&apos;&#26448;&#26009;&#21512;&#25104;&apos;!c46:" TargetMode="External"/><Relationship Id="rId7" Type="http://schemas.openxmlformats.org/officeDocument/2006/relationships/hyperlink" Target="#&apos;&#26448;&#26009;&#26469;&#28304;&apos;!b27:" TargetMode="External"/><Relationship Id="rId23" Type="http://schemas.openxmlformats.org/officeDocument/2006/relationships/hyperlink" Target="#&apos;&#26448;&#26009;&#26469;&#28304;&apos;!b70:" TargetMode="External"/><Relationship Id="rId15" Type="http://schemas.openxmlformats.org/officeDocument/2006/relationships/hyperlink" Target="#&apos;&#26448;&#26009;&#26469;&#28304;&apos;!b52:" TargetMode="External"/><Relationship Id="rId16" Type="http://schemas.openxmlformats.org/officeDocument/2006/relationships/hyperlink" Target="#&apos;&#26448;&#26009;&#26469;&#28304;&apos;!b58:" TargetMode="External"/><Relationship Id="rId28" Type="http://schemas.openxmlformats.org/officeDocument/2006/relationships/hyperlink" Target="#&apos;&#26448;&#26009;&#26469;&#28304;&apos;!b111:" TargetMode="External"/><Relationship Id="rId17" Type="http://schemas.openxmlformats.org/officeDocument/2006/relationships/hyperlink" Target="#&apos;&#26448;&#26009;&#26469;&#28304;&apos;!b75:" TargetMode="External"/><Relationship Id="rId18" Type="http://schemas.openxmlformats.org/officeDocument/2006/relationships/hyperlink" Target="#&apos;&#26448;&#26009;&#26469;&#28304;&apos;!b78:" TargetMode="External"/><Relationship Id="rId4" Type="http://schemas.openxmlformats.org/officeDocument/2006/relationships/hyperlink" Target="#&apos;&#26448;&#26009;&#26469;&#28304;&apos;!b11:" TargetMode="External"/><Relationship Id="rId19" Type="http://schemas.openxmlformats.org/officeDocument/2006/relationships/hyperlink" Target="#&apos;&#26448;&#26009;&#26469;&#28304;&apos;!b82:" TargetMode="External"/><Relationship Id="rId3" Type="http://schemas.openxmlformats.org/officeDocument/2006/relationships/hyperlink" Target="#&apos;&#26448;&#26009;&#26469;&#28304;&apos;!b7:" TargetMode="External"/><Relationship Id="rId20" Type="http://schemas.openxmlformats.org/officeDocument/2006/relationships/hyperlink" Target="#&apos;&#26448;&#26009;&#26469;&#28304;&apos;!b87:" TargetMode="External"/><Relationship Id="rId11" Type="http://schemas.openxmlformats.org/officeDocument/2006/relationships/hyperlink" Target="#&apos;&#26448;&#26009;&#21512;&#25104;&apos;!c49:" TargetMode="External"/><Relationship Id="rId2" Type="http://schemas.openxmlformats.org/officeDocument/2006/relationships/hyperlink" Target="#&apos;&#26448;&#26009;&#26469;&#28304;&apos;!b20:" TargetMode="External"/><Relationship Id="rId21" Type="http://schemas.openxmlformats.org/officeDocument/2006/relationships/hyperlink" Target="#&apos;&#26448;&#26009;&#26469;&#28304;&apos;!b2:" TargetMode="External"/><Relationship Id="rId0" Type="http://schemas.openxmlformats.org/officeDocument/2006/relationships/hyperlink" Target="https://xhslink.cn/o/Vg6kGMX6Xy" TargetMode="External"/><Relationship Id="rId22" Type="http://schemas.openxmlformats.org/officeDocument/2006/relationships/hyperlink" Target="#&apos;&#26448;&#26009;&#26469;&#28304;&apos;!b60:" TargetMode="External"/></Relationships>
</file>

<file path=xl/worksheets/_rels/sheet3.xml.rels><?xml version="1.0" encoding="UTF-8" standalone="yes"?><Relationships xmlns="http://schemas.openxmlformats.org/package/2006/relationships"><Relationship Id="rId3" Type="http://schemas.openxmlformats.org/officeDocument/2006/relationships/hyperlink" Target="https://xhslink.cn/o/5O52f1ikM3k" TargetMode="External"/><Relationship Id="rId2" Type="http://schemas.openxmlformats.org/officeDocument/2006/relationships/vmlDrawing" Target="../drawings/vmlDrawing1.vml" /><Relationship Id="rId0" Type="http://schemas.openxmlformats.org/officeDocument/2006/relationships/comments" Target="../comments1.xml" /><Relationship Id="rId1" Type="http://schemas.microsoft.com/office/2017/10/relationships/threadedComment" Target="../threadedComments/threadedComment1.xml" /></Relationships>
</file>

<file path=xl/worksheets/_rels/sheet4.xml.rels><?xml version="1.0" encoding="UTF-8" standalone="yes"?><Relationships xmlns="http://schemas.openxmlformats.org/package/2006/relationships"><Relationship Id="rId0" Type="http://schemas.openxmlformats.org/officeDocument/2006/relationships/pivotTable" Target="../pivotTables/pivotTable1.xml" 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hyperlink" Target="https://xhslink.cn/o/4IKvakTtmP4" TargetMode="External"/><Relationship Id="rId0" Type="http://schemas.openxmlformats.org/officeDocument/2006/relationships/hyperlink" Target="https://sotosakiyuuko.github.io/pazugiri-calculator/" TargetMode="External"/><Relationship Id="rId5" Type="http://schemas.openxmlformats.org/officeDocument/2006/relationships/hyperlink" Target="https://haruhito-shio.github.io/touken-check/?v=1" TargetMode="External"/><Relationship Id="rId2" Type="http://schemas.openxmlformats.org/officeDocument/2006/relationships/hyperlink" Target="https://xhslink.cn/o/8iMa8Q9jG2g" TargetMode="External"/><Relationship Id="rId3" Type="http://schemas.openxmlformats.org/officeDocument/2006/relationships/hyperlink" Target="https://xhslink.cn/o/5O52f1ikM3k" TargetMode="External"/><Relationship Id="rId6" Type="http://schemas.openxmlformats.org/officeDocument/2006/relationships/hyperlink" Target="https://haruhito-shio.github.io/touken-puzzle-tool/" TargetMode="External"/><Relationship Id="rId4" Type="http://schemas.openxmlformats.org/officeDocument/2006/relationships/hyperlink" Target="https://airrodsushi.wpcomstaging.com/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/>
  <dimension ref="M144"/>
  <sheetViews>
    <sheetView showGridLines="1" workbookViewId="0">
      <pane xSplit="4" ySplit="3" topLeftCell="E4" state="frozen"/>
    </sheetView>
  </sheetViews>
  <sheetFormatPr baseColWidth="8" defaultRowHeight="14"/>
  <cols>
    <col min="1" max="1" width="5.15234" style="159" customWidth="1"/>
    <col min="2" max="2" width="10.4141" style="159" bestFit="1" customWidth="1"/>
    <col min="3" max="3" width="1.22266" style="159" customWidth="1"/>
    <col min="4" max="4" width="6.99219" style="159" customWidth="1"/>
    <col min="5" max="5" width="8.60938" style="36"/>
    <col min="6" max="6" width="10.3398" style="159" bestFit="1" customWidth="1"/>
    <col min="7" max="8" width="10.3398" style="159" customWidth="1"/>
    <col min="9" max="9" width="12.1406" style="159" bestFit="1" customWidth="1"/>
    <col min="10" max="10" width="6.75" style="159" customWidth="1"/>
    <col min="11" max="11" width="13.9414" style="159" bestFit="1" customWidth="1"/>
    <col min="12" max="12" width="2.94141" style="159" customWidth="1"/>
    <col min="13" max="13" width="15.4922" style="159" customWidth="1"/>
    <col min="14" max="27" width="8.60938" style="231"/>
  </cols>
  <sheetData>
    <row r="1" spans="1:27" s="7" customFormat="1" ht="24" customHeight="1">
      <c r="A1" s="4" t="s">
        <v>1</v>
      </c>
      <c r="B1" s="4" t="s">
        <v>2</v>
      </c>
      <c r="C1" s="5" t="s"/>
      <c r="D1" s="4" t="s">
        <v>3</v>
      </c>
      <c r="E1" s="4" t="s">
        <v>4</v>
      </c>
      <c r="F1" s="4" t="s">
        <v>5</v>
      </c>
      <c r="G1" s="6" t="s"/>
      <c r="H1" s="6" t="s"/>
      <c r="I1" s="6" t="s"/>
      <c r="J1" s="6" t="s"/>
      <c r="K1" s="6" t="s"/>
      <c r="L1" s="7" t="s"/>
      <c r="M1" s="5" t="s">
        <v>6</v>
      </c>
      <c r="N1" s="7" t="s"/>
      <c r="O1" s="7" t="s"/>
      <c r="P1" s="7" t="s"/>
      <c r="Q1" s="7" t="s"/>
      <c r="R1" s="7" t="s"/>
      <c r="S1" s="7" t="s"/>
      <c r="T1" s="7" t="s"/>
      <c r="U1" s="7" t="s"/>
      <c r="V1" s="7" t="s"/>
      <c r="W1" s="7" t="s"/>
      <c r="X1" s="7" t="s"/>
      <c r="Y1" s="7" t="s"/>
      <c r="Z1" s="7" t="s"/>
      <c r="AA1" s="7" t="s"/>
    </row>
    <row r="2" spans="1:27" s="9" customFormat="1">
      <c r="A2" s="8" t="s">
        <v>7</v>
      </c>
      <c r="B2" s="9" t="s"/>
      <c r="C2" s="9" t="s"/>
      <c r="D2" s="9" t="s"/>
      <c r="E2" s="9" t="s"/>
      <c r="F2" s="9" t="s"/>
      <c r="G2" s="9" t="s"/>
      <c r="H2" s="9" t="s"/>
      <c r="I2" s="9" t="s"/>
      <c r="J2" s="9" t="s"/>
      <c r="K2" s="9" t="s"/>
      <c r="L2" s="9" t="s"/>
      <c r="M2" s="10" t="s">
        <v>559</v>
      </c>
      <c r="N2" s="11" t="s"/>
      <c r="O2" s="11" t="s"/>
      <c r="P2" s="11" t="s"/>
      <c r="Q2" s="11" t="s"/>
      <c r="R2" s="11" t="s"/>
      <c r="S2" s="11" t="s"/>
      <c r="T2" s="11" t="s"/>
      <c r="U2" s="9" t="s"/>
      <c r="V2" s="9" t="s"/>
      <c r="W2" s="9" t="s"/>
      <c r="X2" s="9" t="s"/>
      <c r="Y2" s="9" t="s"/>
      <c r="Z2" s="9" t="s"/>
      <c r="AA2" s="9" t="s"/>
    </row>
    <row r="3" spans="1:27" s="9" customFormat="1">
      <c r="A3" s="12" t="s">
        <v>8</v>
      </c>
      <c r="B3" s="13" t="s"/>
      <c r="C3" s="13" t="s"/>
      <c r="D3" s="13" t="s"/>
      <c r="E3" s="13" t="s"/>
      <c r="F3" s="9" t="s"/>
      <c r="G3" s="9" t="s"/>
      <c r="H3" s="9" t="s"/>
      <c r="I3" s="9" t="s"/>
      <c r="J3" s="9" t="s"/>
      <c r="K3" s="9" t="s"/>
      <c r="L3" s="9" t="s"/>
      <c r="M3" s="11" t="s">
        <v>9</v>
      </c>
      <c r="N3" s="11" t="s"/>
      <c r="O3" s="11" t="s"/>
      <c r="P3" s="11" t="s"/>
      <c r="Q3" s="11" t="s"/>
      <c r="R3" s="11" t="s"/>
      <c r="S3" s="11" t="s"/>
      <c r="T3" s="11" t="s"/>
      <c r="U3" s="9" t="s"/>
      <c r="V3" s="9" t="s"/>
      <c r="W3" s="9" t="s"/>
      <c r="X3" s="9" t="s"/>
      <c r="Y3" s="9" t="s"/>
      <c r="Z3" s="9" t="s"/>
      <c r="AA3" s="9" t="s"/>
    </row>
    <row r="4" spans="1:13">
      <c r="A4" s="14" t="s">
        <v>10</v>
      </c>
      <c r="B4" s="15" t="s">
        <v>11</v>
      </c>
      <c r="C4" s="16" t="s"/>
      <c r="D4" s="17" t="s">
        <v>12</v>
      </c>
      <c r="E4" s="18" t="s">
        <v>13</v>
      </c>
      <c r="F4" s="19" t="s">
        <v>14</v>
      </c>
      <c r="G4" s="19" t="s">
        <v>15</v>
      </c>
      <c r="H4" s="19" t="s"/>
      <c r="I4" s="19" t="s"/>
      <c r="J4" s="19" t="s"/>
      <c r="K4" s="19" t="s"/>
      <c r="L4" s="19" t="s"/>
      <c r="M4" s="19" t="s">
        <v>16</v>
      </c>
    </row>
    <row r="5" spans="1:13">
      <c r="A5" s="6" t="s"/>
      <c r="B5" s="6" t="s"/>
      <c r="C5" s="20" t="s"/>
      <c r="D5" s="6" t="s"/>
      <c r="E5" s="18" t="s">
        <v>17</v>
      </c>
      <c r="F5" s="19" t="s">
        <v>18</v>
      </c>
      <c r="G5" s="19" t="s">
        <v>19</v>
      </c>
      <c r="H5" s="19" t="s">
        <v>15</v>
      </c>
      <c r="I5" s="19" t="s">
        <v>20</v>
      </c>
      <c r="J5" s="19" t="s"/>
      <c r="K5" s="19" t="s"/>
      <c r="L5" s="19" t="s"/>
      <c r="M5" s="19" t="s">
        <v>21</v>
      </c>
    </row>
    <row r="6" spans="1:13">
      <c r="A6" s="6" t="s"/>
      <c r="B6" s="6" t="s"/>
      <c r="C6" s="20" t="s"/>
      <c r="D6" s="6" t="s"/>
      <c r="E6" s="18" t="s">
        <v>22</v>
      </c>
      <c r="F6" s="19" t="s">
        <v>23</v>
      </c>
      <c r="G6" s="19" t="s">
        <v>24</v>
      </c>
      <c r="H6" s="19" t="s">
        <v>25</v>
      </c>
      <c r="I6" s="19" t="s">
        <v>26</v>
      </c>
      <c r="J6" s="19" t="s">
        <v>27</v>
      </c>
      <c r="K6" s="19" t="s">
        <v>28</v>
      </c>
      <c r="L6" s="19" t="s"/>
      <c r="M6" s="21" t="s">
        <v>21</v>
      </c>
    </row>
    <row r="7" spans="1:13">
      <c r="A7" s="6" t="s"/>
      <c r="B7" s="6" t="s"/>
      <c r="C7" s="22" t="s"/>
      <c r="D7" s="23" t="s">
        <v>29</v>
      </c>
      <c r="E7" s="23" t="s">
        <v>13</v>
      </c>
      <c r="F7" s="24" t="s">
        <v>30</v>
      </c>
      <c r="G7" s="24" t="s">
        <v>31</v>
      </c>
      <c r="H7" s="25" t="s"/>
      <c r="I7" s="25" t="s"/>
      <c r="J7" s="25" t="s"/>
      <c r="K7" s="25" t="s"/>
      <c r="L7" s="25" t="s"/>
      <c r="M7" s="24" t="s">
        <v>32</v>
      </c>
    </row>
    <row r="8" spans="1:13">
      <c r="A8" s="6" t="s"/>
      <c r="B8" s="6" t="s"/>
      <c r="C8" s="20" t="s"/>
      <c r="D8" s="6" t="s"/>
      <c r="E8" s="23" t="s">
        <v>17</v>
      </c>
      <c r="F8" s="24" t="s">
        <v>33</v>
      </c>
      <c r="G8" s="24" t="s">
        <v>34</v>
      </c>
      <c r="H8" s="24" t="s">
        <v>15</v>
      </c>
      <c r="I8" s="24" t="s">
        <v>20</v>
      </c>
      <c r="J8" s="25" t="s"/>
      <c r="K8" s="25" t="s"/>
      <c r="L8" s="25" t="s"/>
      <c r="M8" s="25" t="s"/>
    </row>
    <row r="9" spans="1:13">
      <c r="A9" s="6" t="s"/>
      <c r="B9" s="6" t="s"/>
      <c r="C9" s="20" t="s"/>
      <c r="D9" s="6" t="s"/>
      <c r="E9" s="23" t="s">
        <v>22</v>
      </c>
      <c r="F9" s="26" t="s">
        <v>23</v>
      </c>
      <c r="G9" s="26" t="s">
        <v>35</v>
      </c>
      <c r="H9" s="26" t="s">
        <v>25</v>
      </c>
      <c r="I9" s="26" t="s">
        <v>26</v>
      </c>
      <c r="J9" s="26" t="s">
        <v>36</v>
      </c>
      <c r="K9" s="26" t="s">
        <v>28</v>
      </c>
      <c r="L9" s="26" t="s"/>
      <c r="M9" s="26" t="s">
        <v>37</v>
      </c>
    </row>
    <row r="10" spans="1:13">
      <c r="A10" s="6" t="s"/>
      <c r="B10" s="15" t="s">
        <v>38</v>
      </c>
      <c r="C10" s="27" t="s"/>
      <c r="D10" s="17" t="s">
        <v>12</v>
      </c>
      <c r="E10" s="18" t="s">
        <v>13</v>
      </c>
      <c r="F10" s="19" t="s">
        <v>39</v>
      </c>
      <c r="G10" s="19" t="s">
        <v>34</v>
      </c>
      <c r="H10" s="19" t="s"/>
      <c r="I10" s="19" t="s"/>
      <c r="J10" s="19" t="s"/>
      <c r="K10" s="19" t="s"/>
      <c r="L10" s="19" t="s"/>
      <c r="M10" s="19" t="s">
        <v>40</v>
      </c>
    </row>
    <row r="11" spans="1:13">
      <c r="A11" s="6" t="s"/>
      <c r="B11" s="6" t="s"/>
      <c r="C11" s="20" t="s"/>
      <c r="D11" s="6" t="s"/>
      <c r="E11" s="18" t="s">
        <v>17</v>
      </c>
      <c r="F11" s="19" t="s">
        <v>41</v>
      </c>
      <c r="G11" s="19" t="s">
        <v>42</v>
      </c>
      <c r="H11" s="19" t="s">
        <v>39</v>
      </c>
      <c r="I11" s="19" t="s">
        <v>43</v>
      </c>
      <c r="J11" s="19" t="s"/>
      <c r="K11" s="19" t="s"/>
      <c r="L11" s="19" t="s"/>
      <c r="M11" s="19" t="s">
        <v>40</v>
      </c>
    </row>
    <row r="12" spans="1:13">
      <c r="A12" s="6" t="s"/>
      <c r="B12" s="6" t="s"/>
      <c r="C12" s="20" t="s"/>
      <c r="D12" s="6" t="s"/>
      <c r="E12" s="18" t="s">
        <v>22</v>
      </c>
      <c r="F12" s="28" t="s">
        <v>44</v>
      </c>
      <c r="G12" s="28" t="s">
        <v>45</v>
      </c>
      <c r="H12" s="28" t="s">
        <v>46</v>
      </c>
      <c r="I12" s="29" t="s">
        <v>47</v>
      </c>
      <c r="J12" s="28" t="s">
        <v>36</v>
      </c>
      <c r="K12" s="28" t="s">
        <v>28</v>
      </c>
      <c r="L12" s="19" t="s"/>
      <c r="M12" s="28" t="s">
        <v>48</v>
      </c>
    </row>
    <row r="13" spans="1:13">
      <c r="A13" s="6" t="s"/>
      <c r="B13" s="15" t="s">
        <v>49</v>
      </c>
      <c r="C13" s="16" t="s"/>
      <c r="D13" s="17" t="s">
        <v>12</v>
      </c>
      <c r="E13" s="18" t="s">
        <v>13</v>
      </c>
      <c r="F13" s="28" t="s">
        <v>14</v>
      </c>
      <c r="G13" s="28" t="s">
        <v>15</v>
      </c>
      <c r="H13" s="19" t="s"/>
      <c r="I13" s="19" t="s"/>
      <c r="J13" s="19" t="s"/>
      <c r="K13" s="19" t="s"/>
      <c r="L13" s="19" t="s"/>
      <c r="M13" s="28" t="s">
        <v>50</v>
      </c>
    </row>
    <row r="14" spans="1:13">
      <c r="A14" s="6" t="s"/>
      <c r="B14" s="6" t="s"/>
      <c r="C14" s="20" t="s"/>
      <c r="D14" s="6" t="s"/>
      <c r="E14" s="18" t="s">
        <v>17</v>
      </c>
      <c r="F14" s="19" t="s">
        <v>33</v>
      </c>
      <c r="G14" s="19" t="s">
        <v>51</v>
      </c>
      <c r="H14" s="19" t="s">
        <v>52</v>
      </c>
      <c r="I14" s="19" t="s">
        <v>19</v>
      </c>
      <c r="J14" s="19" t="s"/>
      <c r="K14" s="19" t="s"/>
      <c r="L14" s="19" t="s"/>
      <c r="M14" s="21" t="s">
        <v>21</v>
      </c>
    </row>
    <row r="15" spans="1:13">
      <c r="A15" s="6" t="s"/>
      <c r="B15" s="6" t="s"/>
      <c r="C15" s="20" t="s"/>
      <c r="D15" s="6" t="s"/>
      <c r="E15" s="18" t="s">
        <v>22</v>
      </c>
      <c r="F15" s="19" t="s">
        <v>53</v>
      </c>
      <c r="G15" s="19" t="s">
        <v>54</v>
      </c>
      <c r="H15" s="19" t="s">
        <v>55</v>
      </c>
      <c r="I15" s="19" t="s">
        <v>56</v>
      </c>
      <c r="J15" s="19" t="s">
        <v>27</v>
      </c>
      <c r="K15" s="19" t="s">
        <v>57</v>
      </c>
      <c r="L15" s="19" t="s"/>
      <c r="M15" s="19" t="s">
        <v>58</v>
      </c>
    </row>
    <row r="16" spans="1:13">
      <c r="A16" s="6" t="s"/>
      <c r="B16" s="15" t="s">
        <v>59</v>
      </c>
      <c r="C16" s="16" t="s"/>
      <c r="D16" s="17" t="s">
        <v>12</v>
      </c>
      <c r="E16" s="18" t="s">
        <v>13</v>
      </c>
      <c r="F16" s="19" t="s">
        <v>14</v>
      </c>
      <c r="G16" s="19" t="s">
        <v>15</v>
      </c>
      <c r="H16" s="19" t="s"/>
      <c r="I16" s="19" t="s"/>
      <c r="J16" s="19" t="s"/>
      <c r="K16" s="19" t="s"/>
      <c r="L16" s="19" t="s"/>
      <c r="M16" s="19" t="s">
        <v>60</v>
      </c>
    </row>
    <row r="17" spans="1:13">
      <c r="A17" s="6" t="s"/>
      <c r="B17" s="6" t="s"/>
      <c r="C17" s="20" t="s"/>
      <c r="D17" s="6" t="s"/>
      <c r="E17" s="18" t="s">
        <v>17</v>
      </c>
      <c r="F17" s="19" t="s">
        <v>33</v>
      </c>
      <c r="G17" s="19" t="s">
        <v>19</v>
      </c>
      <c r="H17" s="19" t="s">
        <v>42</v>
      </c>
      <c r="I17" s="19" t="s">
        <v>61</v>
      </c>
      <c r="J17" s="19" t="s"/>
      <c r="K17" s="19" t="s"/>
      <c r="L17" s="19" t="s"/>
      <c r="M17" s="19" t="s">
        <v>62</v>
      </c>
    </row>
    <row r="18" spans="1:13">
      <c r="A18" s="6" t="s"/>
      <c r="B18" s="6" t="s"/>
      <c r="C18" s="20" t="s"/>
      <c r="D18" s="6" t="s"/>
      <c r="E18" s="18" t="s">
        <v>22</v>
      </c>
      <c r="F18" s="19" t="s">
        <v>63</v>
      </c>
      <c r="G18" s="19" t="s">
        <v>45</v>
      </c>
      <c r="H18" s="19" t="s">
        <v>25</v>
      </c>
      <c r="I18" s="19" t="s">
        <v>26</v>
      </c>
      <c r="J18" s="19" t="s">
        <v>64</v>
      </c>
      <c r="K18" s="19" t="s">
        <v>28</v>
      </c>
      <c r="L18" s="19" t="s"/>
      <c r="M18" s="21" t="s">
        <v>21</v>
      </c>
    </row>
    <row r="19" spans="1:12">
      <c r="A19" s="30" t="s">
        <v>65</v>
      </c>
      <c r="B19" s="15" t="s">
        <v>66</v>
      </c>
      <c r="C19" s="22" t="s"/>
      <c r="D19" s="17" t="s">
        <v>12</v>
      </c>
      <c r="E19" s="18" t="s">
        <v>13</v>
      </c>
      <c r="F19" s="31" t="s">
        <v>39</v>
      </c>
      <c r="G19" s="31" t="s">
        <v>42</v>
      </c>
      <c r="H19" s="19" t="s"/>
      <c r="I19" s="19" t="s"/>
      <c r="J19" s="19" t="s"/>
      <c r="K19" s="19" t="s"/>
      <c r="L19" s="19" t="s"/>
    </row>
    <row r="20" spans="1:13">
      <c r="A20" s="6" t="s"/>
      <c r="B20" s="6" t="s"/>
      <c r="C20" s="32" t="s"/>
      <c r="D20" s="6" t="s"/>
      <c r="E20" s="18" t="s">
        <v>17</v>
      </c>
      <c r="F20" s="19" t="s">
        <v>41</v>
      </c>
      <c r="G20" s="19" t="s">
        <v>42</v>
      </c>
      <c r="H20" s="19" t="s">
        <v>39</v>
      </c>
      <c r="I20" s="19" t="s">
        <v>67</v>
      </c>
      <c r="J20" s="19" t="s"/>
      <c r="K20" s="19" t="s"/>
      <c r="L20" s="19" t="s"/>
      <c r="M20" t="s">
        <v>48</v>
      </c>
    </row>
    <row r="21" spans="1:12">
      <c r="A21" s="6" t="s"/>
      <c r="B21" s="6" t="s"/>
      <c r="C21" s="32" t="s"/>
      <c r="D21" s="6" t="s"/>
      <c r="E21" s="18" t="s">
        <v>22</v>
      </c>
      <c r="F21" s="33" t="s">
        <v>23</v>
      </c>
      <c r="G21" s="33" t="s">
        <v>68</v>
      </c>
      <c r="H21" s="33" t="s">
        <v>25</v>
      </c>
      <c r="I21" s="34" t="s">
        <v>69</v>
      </c>
      <c r="J21" s="33" t="s">
        <v>64</v>
      </c>
      <c r="K21" s="33" t="s">
        <v>70</v>
      </c>
      <c r="L21" s="19" t="s"/>
    </row>
    <row r="22" spans="1:13">
      <c r="A22" s="6" t="s"/>
      <c r="B22" s="6" t="s"/>
      <c r="C22" s="27" t="s"/>
      <c r="D22" s="23" t="s">
        <v>29</v>
      </c>
      <c r="E22" s="23" t="s">
        <v>13</v>
      </c>
      <c r="F22" s="24" t="s">
        <v>30</v>
      </c>
      <c r="G22" s="24" t="s">
        <v>71</v>
      </c>
      <c r="H22" s="25" t="s"/>
      <c r="I22" s="25" t="s"/>
      <c r="J22" s="25" t="s"/>
      <c r="K22" s="25" t="s"/>
      <c r="L22" s="25" t="s"/>
      <c r="M22" s="24" t="s">
        <v>72</v>
      </c>
    </row>
    <row r="23" spans="1:13">
      <c r="A23" s="6" t="s"/>
      <c r="B23" s="6" t="s"/>
      <c r="C23" s="32" t="s"/>
      <c r="D23" s="6" t="s"/>
      <c r="E23" s="23" t="s">
        <v>17</v>
      </c>
      <c r="F23" s="25" t="s">
        <v>73</v>
      </c>
      <c r="G23" s="25" t="s">
        <v>74</v>
      </c>
      <c r="H23" s="25" t="s">
        <v>75</v>
      </c>
      <c r="I23" s="25" t="s">
        <v>76</v>
      </c>
      <c r="J23" s="25" t="s"/>
      <c r="K23" s="25" t="s"/>
      <c r="L23" s="25" t="s"/>
      <c r="M23" s="25" t="s">
        <v>77</v>
      </c>
    </row>
    <row r="24" spans="1:13">
      <c r="A24" s="6" t="s"/>
      <c r="B24" s="6" t="s"/>
      <c r="C24" s="32" t="s"/>
      <c r="D24" s="6" t="s"/>
      <c r="E24" s="23" t="s">
        <v>22</v>
      </c>
      <c r="F24" s="24" t="s">
        <v>44</v>
      </c>
      <c r="G24" s="24" t="s">
        <v>35</v>
      </c>
      <c r="H24" s="24" t="s">
        <v>25</v>
      </c>
      <c r="I24" s="24" t="s">
        <v>78</v>
      </c>
      <c r="J24" s="24" t="s">
        <v>36</v>
      </c>
      <c r="K24" s="24" t="s">
        <v>70</v>
      </c>
      <c r="L24" s="25" t="s"/>
      <c r="M24" s="35" t="s">
        <v>79</v>
      </c>
    </row>
    <row r="25" spans="1:13">
      <c r="A25" s="6" t="s"/>
      <c r="B25" s="36" t="s">
        <v>80</v>
      </c>
      <c r="C25" s="27" t="s"/>
      <c r="D25" s="17" t="s">
        <v>12</v>
      </c>
      <c r="E25" s="18" t="s">
        <v>13</v>
      </c>
      <c r="F25" s="28" t="s">
        <v>39</v>
      </c>
      <c r="G25" s="28" t="s">
        <v>42</v>
      </c>
      <c r="H25" s="19" t="s"/>
      <c r="I25" s="19" t="s"/>
      <c r="J25" s="19" t="s"/>
      <c r="K25" s="19" t="s"/>
      <c r="L25" s="19" t="s"/>
      <c r="M25" s="28" t="s">
        <v>32</v>
      </c>
    </row>
    <row r="26" spans="1:13">
      <c r="A26" s="6" t="s"/>
      <c r="B26" s="6" t="s"/>
      <c r="C26" s="32" t="s"/>
      <c r="D26" s="6" t="s"/>
      <c r="E26" s="18" t="s">
        <v>17</v>
      </c>
      <c r="F26" s="28" t="s">
        <v>33</v>
      </c>
      <c r="G26" s="28" t="s">
        <v>34</v>
      </c>
      <c r="H26" s="28" t="s">
        <v>81</v>
      </c>
      <c r="I26" s="28" t="s">
        <v>19</v>
      </c>
      <c r="J26" s="19" t="s"/>
      <c r="K26" s="19" t="s"/>
      <c r="L26" s="19" t="s"/>
      <c r="M26" s="28" t="s">
        <v>82</v>
      </c>
    </row>
    <row r="27" spans="1:13">
      <c r="A27" s="6" t="s"/>
      <c r="B27" s="6" t="s"/>
      <c r="C27" s="32" t="s"/>
      <c r="D27" s="6" t="s"/>
      <c r="E27" s="18" t="s">
        <v>22</v>
      </c>
      <c r="F27" s="19" t="s">
        <v>44</v>
      </c>
      <c r="G27" s="19" t="s">
        <v>68</v>
      </c>
      <c r="H27" s="19" t="s">
        <v>25</v>
      </c>
      <c r="I27" s="19" t="s">
        <v>69</v>
      </c>
      <c r="J27" s="19" t="s">
        <v>36</v>
      </c>
      <c r="K27" s="19" t="s">
        <v>70</v>
      </c>
      <c r="L27" s="19" t="s"/>
      <c r="M27" s="19" t="s">
        <v>48</v>
      </c>
    </row>
    <row r="28" spans="1:13">
      <c r="A28" s="6" t="s"/>
      <c r="B28" s="15" t="s">
        <v>83</v>
      </c>
      <c r="C28" s="22" t="s"/>
      <c r="D28" s="17" t="s">
        <v>12</v>
      </c>
      <c r="E28" s="18" t="s">
        <v>13</v>
      </c>
      <c r="F28" s="19" t="s">
        <v>39</v>
      </c>
      <c r="G28" s="19" t="s">
        <v>42</v>
      </c>
      <c r="H28" s="19" t="s"/>
      <c r="I28" s="19" t="s"/>
      <c r="J28" s="19" t="s"/>
      <c r="K28" s="19" t="s"/>
      <c r="L28" s="19" t="s"/>
      <c r="M28" s="19" t="s">
        <v>40</v>
      </c>
    </row>
    <row r="29" spans="1:13">
      <c r="A29" s="6" t="s"/>
      <c r="B29" s="6" t="s"/>
      <c r="C29" s="32" t="s"/>
      <c r="D29" s="6" t="s"/>
      <c r="E29" s="18" t="s">
        <v>17</v>
      </c>
      <c r="F29" s="19" t="s"/>
      <c r="G29" s="19" t="s"/>
      <c r="H29" s="19" t="s"/>
      <c r="I29" s="19" t="s"/>
      <c r="J29" s="19" t="s"/>
      <c r="K29" s="19" t="s"/>
      <c r="L29" s="19" t="s"/>
      <c r="M29" s="19" t="s"/>
    </row>
    <row r="30" spans="1:13">
      <c r="A30" s="6" t="s"/>
      <c r="B30" s="6" t="s"/>
      <c r="C30" s="32" t="s"/>
      <c r="D30" s="6" t="s"/>
      <c r="E30" s="18" t="s">
        <v>22</v>
      </c>
      <c r="F30" s="19" t="s">
        <v>84</v>
      </c>
      <c r="G30" s="19" t="s">
        <v>85</v>
      </c>
      <c r="H30" s="19" t="s">
        <v>86</v>
      </c>
      <c r="I30" s="19" t="s">
        <v>56</v>
      </c>
      <c r="J30" s="19" t="s">
        <v>87</v>
      </c>
      <c r="K30" s="19" t="s">
        <v>88</v>
      </c>
      <c r="L30" s="19" t="s"/>
      <c r="M30" s="19" t="s">
        <v>79</v>
      </c>
    </row>
    <row r="31" spans="1:13">
      <c r="A31" s="6" t="s"/>
      <c r="B31" s="6" t="s"/>
      <c r="C31" s="22" t="s"/>
      <c r="D31" s="23" t="s">
        <v>29</v>
      </c>
      <c r="E31" s="23" t="s">
        <v>13</v>
      </c>
      <c r="F31" s="25" t="s">
        <v>89</v>
      </c>
      <c r="G31" s="25" t="s">
        <v>90</v>
      </c>
      <c r="H31" s="25" t="s"/>
      <c r="I31" s="25" t="s"/>
      <c r="J31" s="25" t="s"/>
      <c r="K31" s="25" t="s"/>
      <c r="L31" s="25" t="s"/>
      <c r="M31" s="25" t="s">
        <v>91</v>
      </c>
    </row>
    <row r="32" spans="1:13">
      <c r="A32" s="6" t="s"/>
      <c r="B32" s="6" t="s"/>
      <c r="C32" s="32" t="s"/>
      <c r="D32" s="6" t="s"/>
      <c r="E32" s="23" t="s">
        <v>17</v>
      </c>
      <c r="F32" s="24" t="s">
        <v>33</v>
      </c>
      <c r="G32" s="24" t="s">
        <v>92</v>
      </c>
      <c r="H32" s="24" t="s">
        <v>42</v>
      </c>
      <c r="I32" s="24" t="s">
        <v>93</v>
      </c>
      <c r="J32" s="25" t="s"/>
      <c r="K32" s="25" t="s"/>
      <c r="L32" s="25" t="s"/>
      <c r="M32" s="24" t="s">
        <v>72</v>
      </c>
    </row>
    <row r="33" spans="1:13">
      <c r="A33" s="6" t="s"/>
      <c r="B33" s="6" t="s"/>
      <c r="C33" s="32" t="s"/>
      <c r="D33" s="6" t="s"/>
      <c r="E33" s="23" t="s">
        <v>22</v>
      </c>
      <c r="F33" s="26" t="s">
        <v>23</v>
      </c>
      <c r="G33" s="26" t="s">
        <v>35</v>
      </c>
      <c r="H33" s="26" t="s">
        <v>25</v>
      </c>
      <c r="I33" s="37" t="s">
        <v>69</v>
      </c>
      <c r="J33" s="26" t="s">
        <v>64</v>
      </c>
      <c r="K33" s="26" t="s">
        <v>70</v>
      </c>
      <c r="L33" s="26" t="s"/>
      <c r="M33" s="26" t="s">
        <v>37</v>
      </c>
    </row>
    <row r="34" spans="1:13">
      <c r="A34" s="6" t="s"/>
      <c r="B34" s="15" t="s">
        <v>94</v>
      </c>
      <c r="C34" s="38" t="s"/>
      <c r="D34" s="17" t="s">
        <v>12</v>
      </c>
      <c r="E34" s="18" t="s">
        <v>13</v>
      </c>
      <c r="F34" s="28" t="s">
        <v>42</v>
      </c>
      <c r="G34" s="28" t="s">
        <v>51</v>
      </c>
      <c r="H34" s="19" t="s"/>
      <c r="I34" s="19" t="s"/>
      <c r="J34" s="19" t="s"/>
      <c r="K34" s="19" t="s"/>
      <c r="L34" s="19" t="s"/>
      <c r="M34" s="28" t="s">
        <v>32</v>
      </c>
    </row>
    <row r="35" spans="1:13">
      <c r="A35" s="6" t="s"/>
      <c r="B35" s="6" t="s"/>
      <c r="C35" s="32" t="s"/>
      <c r="D35" s="6" t="s"/>
      <c r="E35" s="18" t="s">
        <v>17</v>
      </c>
      <c r="F35" s="19" t="s"/>
      <c r="G35" s="19" t="s"/>
      <c r="H35" s="19" t="s"/>
      <c r="I35" s="19" t="s"/>
      <c r="J35" s="19" t="s"/>
      <c r="K35" s="19" t="s"/>
      <c r="L35" s="19" t="s"/>
      <c r="M35" s="19" t="s"/>
    </row>
    <row r="36" spans="1:13">
      <c r="A36" s="6" t="s"/>
      <c r="B36" s="6" t="s"/>
      <c r="C36" s="32" t="s"/>
      <c r="D36" s="6" t="s"/>
      <c r="E36" s="18" t="s">
        <v>22</v>
      </c>
      <c r="F36" s="19" t="s">
        <v>23</v>
      </c>
      <c r="G36" s="19" t="s">
        <v>68</v>
      </c>
      <c r="H36" s="19" t="s">
        <v>25</v>
      </c>
      <c r="I36" s="19" t="s">
        <v>69</v>
      </c>
      <c r="J36" s="19" t="s">
        <v>36</v>
      </c>
      <c r="K36" s="19" t="s">
        <v>70</v>
      </c>
      <c r="L36" s="19" t="s"/>
      <c r="M36" s="21" t="s">
        <v>21</v>
      </c>
    </row>
    <row r="37" spans="1:13">
      <c r="A37" s="6" t="s"/>
      <c r="B37" s="15" t="s">
        <v>95</v>
      </c>
      <c r="C37" s="16" t="s"/>
      <c r="D37" s="17" t="s">
        <v>12</v>
      </c>
      <c r="E37" s="18" t="s">
        <v>13</v>
      </c>
      <c r="F37" s="28" t="s">
        <v>39</v>
      </c>
      <c r="G37" s="28" t="s">
        <v>42</v>
      </c>
      <c r="H37" s="19" t="s"/>
      <c r="I37" s="19" t="s"/>
      <c r="J37" s="19" t="s"/>
      <c r="K37" s="19" t="s"/>
      <c r="L37" s="19" t="s"/>
      <c r="M37" s="19" t="s"/>
    </row>
    <row r="38" spans="1:13">
      <c r="A38" s="6" t="s"/>
      <c r="B38" s="6" t="s"/>
      <c r="C38" s="32" t="s"/>
      <c r="D38" s="6" t="s"/>
      <c r="E38" s="18" t="s">
        <v>17</v>
      </c>
      <c r="F38" s="19" t="s">
        <v>41</v>
      </c>
      <c r="G38" s="19" t="s">
        <v>15</v>
      </c>
      <c r="H38" s="19" t="s">
        <v>42</v>
      </c>
      <c r="I38" s="19" t="s">
        <v>67</v>
      </c>
      <c r="J38" s="19" t="s"/>
      <c r="K38" s="19" t="s"/>
      <c r="L38" s="19" t="s"/>
      <c r="M38" s="21" t="s">
        <v>21</v>
      </c>
    </row>
    <row r="39" spans="1:13">
      <c r="A39" s="6" t="s"/>
      <c r="B39" s="6" t="s"/>
      <c r="C39" s="32" t="s"/>
      <c r="D39" s="6" t="s"/>
      <c r="E39" s="18" t="s">
        <v>22</v>
      </c>
      <c r="F39" s="39" t="s">
        <v>63</v>
      </c>
      <c r="G39" s="39" t="s">
        <v>68</v>
      </c>
      <c r="H39" s="39" t="s">
        <v>25</v>
      </c>
      <c r="I39" s="40" t="s">
        <v>96</v>
      </c>
      <c r="J39" s="39" t="s">
        <v>64</v>
      </c>
      <c r="K39" s="39" t="s">
        <v>70</v>
      </c>
      <c r="L39" s="19" t="s"/>
      <c r="M39" s="19" t="s">
        <v>62</v>
      </c>
    </row>
    <row r="40" spans="1:13">
      <c r="A40" s="6" t="s"/>
      <c r="B40" s="15" t="s">
        <v>97</v>
      </c>
      <c r="C40" s="27" t="s"/>
      <c r="D40" s="17" t="s">
        <v>12</v>
      </c>
      <c r="E40" s="18" t="s">
        <v>13</v>
      </c>
      <c r="F40" s="19" t="s">
        <v>39</v>
      </c>
      <c r="G40" s="19" t="s">
        <v>42</v>
      </c>
      <c r="H40" s="19" t="s"/>
      <c r="I40" s="19" t="s"/>
      <c r="J40" s="19" t="s"/>
      <c r="K40" s="19" t="s"/>
      <c r="L40" s="19" t="s"/>
      <c r="M40" s="19" t="s">
        <v>60</v>
      </c>
    </row>
    <row r="41" spans="1:13">
      <c r="A41" s="6" t="s"/>
      <c r="B41" s="6" t="s"/>
      <c r="C41" s="32" t="s"/>
      <c r="D41" s="6" t="s"/>
      <c r="E41" s="18" t="s">
        <v>17</v>
      </c>
      <c r="F41" s="28" t="s">
        <v>33</v>
      </c>
      <c r="G41" s="28" t="s">
        <v>15</v>
      </c>
      <c r="H41" s="28" t="s">
        <v>98</v>
      </c>
      <c r="I41" s="28" t="s">
        <v>93</v>
      </c>
      <c r="J41" s="19" t="s"/>
      <c r="K41" s="19" t="s"/>
      <c r="L41" s="19" t="s"/>
      <c r="M41" s="28" t="s">
        <v>40</v>
      </c>
    </row>
    <row r="42" spans="1:13">
      <c r="A42" s="6" t="s"/>
      <c r="B42" s="6" t="s"/>
      <c r="C42" s="32" t="s"/>
      <c r="D42" s="6" t="s"/>
      <c r="E42" s="18" t="s">
        <v>22</v>
      </c>
      <c r="F42" s="41" t="s">
        <v>44</v>
      </c>
      <c r="G42" s="41" t="s">
        <v>45</v>
      </c>
      <c r="H42" s="41" t="s">
        <v>46</v>
      </c>
      <c r="I42" s="42" t="s">
        <v>69</v>
      </c>
      <c r="J42" s="41" t="s">
        <v>64</v>
      </c>
      <c r="K42" s="41" t="s">
        <v>70</v>
      </c>
      <c r="L42" s="41" t="s"/>
      <c r="M42" s="41" t="s">
        <v>99</v>
      </c>
    </row>
    <row r="43" spans="1:13">
      <c r="A43" s="6" t="s"/>
      <c r="B43" s="15" t="s">
        <v>100</v>
      </c>
      <c r="C43" s="27" t="s"/>
      <c r="D43" s="17" t="s">
        <v>12</v>
      </c>
      <c r="E43" s="18" t="s">
        <v>13</v>
      </c>
      <c r="F43" s="28" t="s">
        <v>42</v>
      </c>
      <c r="G43" s="28" t="s">
        <v>51</v>
      </c>
      <c r="H43" s="19" t="s"/>
      <c r="I43" s="19" t="s"/>
      <c r="J43" s="19" t="s"/>
      <c r="K43" s="19" t="s"/>
      <c r="L43" s="19" t="s"/>
      <c r="M43" s="19" t="s"/>
    </row>
    <row r="44" spans="1:13">
      <c r="A44" s="6" t="s"/>
      <c r="B44" s="6" t="s"/>
      <c r="C44" s="32" t="s"/>
      <c r="D44" s="6" t="s"/>
      <c r="E44" s="18" t="s">
        <v>17</v>
      </c>
      <c r="F44" s="19" t="s">
        <v>33</v>
      </c>
      <c r="G44" s="19" t="s">
        <v>19</v>
      </c>
      <c r="H44" s="19" t="s">
        <v>42</v>
      </c>
      <c r="I44" s="19" t="s">
        <v>101</v>
      </c>
      <c r="J44" s="19" t="s"/>
      <c r="K44" s="19" t="s"/>
      <c r="L44" s="19" t="s"/>
      <c r="M44" s="21" t="s">
        <v>21</v>
      </c>
    </row>
    <row r="45" spans="1:13">
      <c r="A45" s="6" t="s"/>
      <c r="B45" s="6" t="s"/>
      <c r="C45" s="32" t="s"/>
      <c r="D45" s="6" t="s"/>
      <c r="E45" s="18" t="s">
        <v>22</v>
      </c>
      <c r="F45" s="19" t="s">
        <v>44</v>
      </c>
      <c r="G45" s="19" t="s">
        <v>45</v>
      </c>
      <c r="H45" s="19" t="s">
        <v>46</v>
      </c>
      <c r="I45" s="19" t="s">
        <v>26</v>
      </c>
      <c r="J45" s="19" t="s">
        <v>36</v>
      </c>
      <c r="K45" s="19" t="s">
        <v>70</v>
      </c>
      <c r="L45" s="19" t="s"/>
      <c r="M45" s="21" t="s">
        <v>21</v>
      </c>
    </row>
    <row r="46" spans="1:13">
      <c r="A46" s="6" t="s"/>
      <c r="B46" s="15" t="s">
        <v>102</v>
      </c>
      <c r="C46" s="43" t="s">
        <v>103</v>
      </c>
      <c r="D46" s="17" t="s">
        <v>12</v>
      </c>
      <c r="E46" s="18" t="s">
        <v>13</v>
      </c>
      <c r="F46" s="28" t="s">
        <v>15</v>
      </c>
      <c r="G46" s="28" t="s">
        <v>34</v>
      </c>
      <c r="H46" s="19" t="s"/>
      <c r="I46" s="19" t="s"/>
      <c r="J46" s="19" t="s"/>
      <c r="K46" s="19" t="s"/>
      <c r="L46" s="19" t="s"/>
      <c r="M46" s="28" t="s">
        <v>32</v>
      </c>
    </row>
    <row r="47" spans="1:13">
      <c r="A47" s="6" t="s"/>
      <c r="B47" s="6" t="s"/>
      <c r="C47" s="32" t="s"/>
      <c r="D47" s="6" t="s"/>
      <c r="E47" s="18" t="s">
        <v>17</v>
      </c>
      <c r="F47" s="19" t="s">
        <v>33</v>
      </c>
      <c r="G47" s="19" t="s">
        <v>34</v>
      </c>
      <c r="H47" s="44" t="s">
        <v>15</v>
      </c>
      <c r="I47" s="19" t="s">
        <v>20</v>
      </c>
      <c r="J47" s="19" t="s"/>
      <c r="K47" s="19" t="s"/>
      <c r="L47" s="19" t="s"/>
      <c r="M47" s="21" t="s">
        <v>21</v>
      </c>
    </row>
    <row r="48" spans="1:13">
      <c r="A48" s="6" t="s"/>
      <c r="B48" s="6" t="s"/>
      <c r="C48" s="32" t="s"/>
      <c r="D48" s="6" t="s"/>
      <c r="E48" s="18" t="s">
        <v>22</v>
      </c>
      <c r="F48" s="28" t="s">
        <v>44</v>
      </c>
      <c r="G48" s="28" t="s">
        <v>68</v>
      </c>
      <c r="H48" s="28" t="s">
        <v>25</v>
      </c>
      <c r="I48" s="28" t="s">
        <v>78</v>
      </c>
      <c r="J48" s="28" t="s">
        <v>36</v>
      </c>
      <c r="K48" s="28" t="s">
        <v>70</v>
      </c>
      <c r="L48" s="19" t="s"/>
      <c r="M48" s="28" t="s">
        <v>104</v>
      </c>
    </row>
    <row r="49" spans="1:13">
      <c r="A49" s="6" t="s"/>
      <c r="B49" s="15" t="s">
        <v>105</v>
      </c>
      <c r="C49" s="43" t="s">
        <v>103</v>
      </c>
      <c r="D49" s="17" t="s">
        <v>12</v>
      </c>
      <c r="E49" s="18" t="s">
        <v>13</v>
      </c>
      <c r="F49" s="28" t="s">
        <v>15</v>
      </c>
      <c r="G49" s="28" t="s">
        <v>34</v>
      </c>
      <c r="H49" s="19" t="s"/>
      <c r="I49" s="19" t="s"/>
      <c r="J49" s="19" t="s"/>
      <c r="K49" s="19" t="s"/>
      <c r="L49" s="19" t="s"/>
      <c r="M49" s="19" t="s"/>
    </row>
    <row r="50" spans="1:13">
      <c r="A50" s="6" t="s"/>
      <c r="B50" s="6" t="s"/>
      <c r="C50" s="32" t="s"/>
      <c r="D50" s="6" t="s"/>
      <c r="E50" s="18" t="s">
        <v>17</v>
      </c>
      <c r="F50" s="19" t="s">
        <v>33</v>
      </c>
      <c r="G50" s="19" t="s">
        <v>51</v>
      </c>
      <c r="H50" s="19" t="s">
        <v>52</v>
      </c>
      <c r="I50" s="19" t="s">
        <v>19</v>
      </c>
      <c r="J50" s="19" t="s"/>
      <c r="K50" s="19" t="s"/>
      <c r="L50" s="19" t="s"/>
      <c r="M50" s="21" t="s">
        <v>21</v>
      </c>
    </row>
    <row r="51" spans="1:13">
      <c r="A51" s="6" t="s"/>
      <c r="B51" s="6" t="s"/>
      <c r="C51" s="32" t="s"/>
      <c r="D51" s="6" t="s"/>
      <c r="E51" s="18" t="s">
        <v>22</v>
      </c>
      <c r="F51" s="19" t="s">
        <v>44</v>
      </c>
      <c r="G51" s="19" t="s">
        <v>106</v>
      </c>
      <c r="H51" s="19" t="s">
        <v>25</v>
      </c>
      <c r="I51" s="19" t="s">
        <v>26</v>
      </c>
      <c r="J51" s="19" t="s">
        <v>36</v>
      </c>
      <c r="K51" s="19" t="s">
        <v>70</v>
      </c>
      <c r="L51" s="19" t="s"/>
      <c r="M51" s="19" t="s">
        <v>107</v>
      </c>
    </row>
    <row r="52" spans="1:13">
      <c r="A52" s="45" t="s">
        <v>108</v>
      </c>
      <c r="B52" s="15" t="s">
        <v>109</v>
      </c>
      <c r="C52" s="16" t="s"/>
      <c r="D52" s="17" t="s">
        <v>12</v>
      </c>
      <c r="E52" s="18" t="s">
        <v>13</v>
      </c>
      <c r="F52" s="19" t="s">
        <v>39</v>
      </c>
      <c r="G52" s="19" t="s">
        <v>34</v>
      </c>
      <c r="H52" s="19" t="s"/>
      <c r="I52" s="19" t="s"/>
      <c r="J52" s="19" t="s"/>
      <c r="K52" s="19" t="s"/>
      <c r="L52" s="19" t="s"/>
      <c r="M52" s="19" t="s">
        <v>60</v>
      </c>
    </row>
    <row r="53" spans="1:13">
      <c r="A53" s="6" t="s"/>
      <c r="B53" s="6" t="s"/>
      <c r="C53" s="32" t="s"/>
      <c r="D53" s="6" t="s"/>
      <c r="E53" s="18" t="s">
        <v>17</v>
      </c>
      <c r="F53" s="19" t="s">
        <v>33</v>
      </c>
      <c r="G53" s="19" t="s">
        <v>14</v>
      </c>
      <c r="H53" s="19" t="s">
        <v>34</v>
      </c>
      <c r="I53" s="19" t="s">
        <v>110</v>
      </c>
      <c r="J53" s="19" t="s"/>
      <c r="K53" s="19" t="s"/>
      <c r="L53" s="19" t="s"/>
      <c r="M53" s="19" t="s">
        <v>111</v>
      </c>
    </row>
    <row r="54" spans="1:13">
      <c r="A54" s="6" t="s"/>
      <c r="B54" s="6" t="s"/>
      <c r="C54" s="32" t="s"/>
      <c r="D54" s="6" t="s"/>
      <c r="E54" s="18" t="s">
        <v>22</v>
      </c>
      <c r="F54" s="19" t="s">
        <v>44</v>
      </c>
      <c r="G54" s="19" t="s">
        <v>35</v>
      </c>
      <c r="H54" s="19" t="s">
        <v>46</v>
      </c>
      <c r="I54" s="19" t="s">
        <v>78</v>
      </c>
      <c r="J54" s="19" t="s">
        <v>64</v>
      </c>
      <c r="K54" s="19" t="s">
        <v>112</v>
      </c>
      <c r="L54" s="19" t="s"/>
      <c r="M54" s="21" t="s">
        <v>21</v>
      </c>
    </row>
    <row r="55" spans="1:13">
      <c r="A55" s="6" t="s"/>
      <c r="B55" s="6" t="s"/>
      <c r="C55" s="43" t="s">
        <v>103</v>
      </c>
      <c r="D55" s="23" t="s">
        <v>29</v>
      </c>
      <c r="E55" s="23" t="s">
        <v>13</v>
      </c>
      <c r="F55" s="25" t="s">
        <v>113</v>
      </c>
      <c r="G55" s="25" t="s">
        <v>114</v>
      </c>
      <c r="H55" s="25" t="s"/>
      <c r="I55" s="25" t="s"/>
      <c r="J55" s="25" t="s"/>
      <c r="K55" s="25" t="s"/>
      <c r="L55" s="25" t="s"/>
      <c r="M55" s="25" t="s">
        <v>21</v>
      </c>
    </row>
    <row r="56" spans="1:13">
      <c r="A56" s="6" t="s"/>
      <c r="B56" s="6" t="s"/>
      <c r="C56" s="32" t="s"/>
      <c r="D56" s="6" t="s">
        <v>29</v>
      </c>
      <c r="E56" s="23" t="s">
        <v>17</v>
      </c>
      <c r="F56" s="24" t="s">
        <v>41</v>
      </c>
      <c r="G56" s="24" t="s">
        <v>115</v>
      </c>
      <c r="H56" s="24" t="s">
        <v>81</v>
      </c>
      <c r="I56" s="24" t="s">
        <v>43</v>
      </c>
      <c r="J56" s="25" t="s"/>
      <c r="K56" s="25" t="s"/>
      <c r="L56" s="25" t="s"/>
      <c r="M56" s="24" t="s">
        <v>32</v>
      </c>
    </row>
    <row r="57" spans="1:13">
      <c r="A57" s="6" t="s"/>
      <c r="B57" s="6" t="s"/>
      <c r="C57" s="32" t="s"/>
      <c r="D57" s="6" t="s">
        <v>29</v>
      </c>
      <c r="E57" s="23" t="s">
        <v>22</v>
      </c>
      <c r="F57" s="46" t="s">
        <v>44</v>
      </c>
      <c r="G57" s="46" t="s">
        <v>35</v>
      </c>
      <c r="H57" s="46" t="s">
        <v>46</v>
      </c>
      <c r="I57" s="46" t="s">
        <v>78</v>
      </c>
      <c r="J57" s="46" t="s">
        <v>64</v>
      </c>
      <c r="K57" s="46" t="s">
        <v>112</v>
      </c>
      <c r="L57" s="25" t="s"/>
      <c r="M57" s="25" t="s"/>
    </row>
    <row r="58" spans="1:13">
      <c r="A58" s="6" t="s"/>
      <c r="B58" s="15" t="s">
        <v>116</v>
      </c>
      <c r="C58" s="16" t="s"/>
      <c r="D58" s="17" t="s">
        <v>12</v>
      </c>
      <c r="E58" s="18" t="s">
        <v>13</v>
      </c>
      <c r="F58" s="19" t="s">
        <v>39</v>
      </c>
      <c r="G58" s="19" t="s">
        <v>42</v>
      </c>
      <c r="H58" s="19" t="s"/>
      <c r="I58" s="19" t="s"/>
      <c r="J58" s="19" t="s"/>
      <c r="K58" s="19" t="s"/>
      <c r="L58" s="19" t="s"/>
      <c r="M58" s="19" t="s">
        <v>60</v>
      </c>
    </row>
    <row r="59" spans="1:13">
      <c r="A59" s="6" t="s"/>
      <c r="B59" s="6" t="s"/>
      <c r="C59" s="32" t="s"/>
      <c r="D59" s="6" t="s"/>
      <c r="E59" s="18" t="s">
        <v>17</v>
      </c>
      <c r="F59" s="28" t="s">
        <v>41</v>
      </c>
      <c r="G59" s="28" t="s">
        <v>42</v>
      </c>
      <c r="H59" s="28" t="s">
        <v>39</v>
      </c>
      <c r="I59" s="28" t="s">
        <v>67</v>
      </c>
      <c r="J59" s="19" t="s"/>
      <c r="K59" s="19" t="s"/>
      <c r="L59" s="19" t="s"/>
      <c r="M59" s="19" t="s"/>
    </row>
    <row r="60" spans="1:13">
      <c r="A60" s="6" t="s"/>
      <c r="B60" s="6" t="s"/>
      <c r="C60" s="32" t="s"/>
      <c r="D60" s="6" t="s"/>
      <c r="E60" s="18" t="s">
        <v>22</v>
      </c>
      <c r="F60" s="41" t="s">
        <v>44</v>
      </c>
      <c r="G60" s="41" t="s">
        <v>35</v>
      </c>
      <c r="H60" s="41" t="s">
        <v>46</v>
      </c>
      <c r="I60" s="41" t="s">
        <v>78</v>
      </c>
      <c r="J60" s="41" t="s">
        <v>64</v>
      </c>
      <c r="K60" s="41" t="s">
        <v>112</v>
      </c>
      <c r="L60" s="41" t="s"/>
      <c r="M60" s="41" t="s"/>
    </row>
    <row r="61" spans="1:13">
      <c r="A61" s="6" t="s"/>
      <c r="B61" s="15" t="s">
        <v>117</v>
      </c>
      <c r="C61" s="16" t="s"/>
      <c r="D61" s="17" t="s">
        <v>12</v>
      </c>
      <c r="E61" s="18" t="s">
        <v>13</v>
      </c>
      <c r="F61" s="28" t="s">
        <v>14</v>
      </c>
      <c r="G61" s="28" t="s">
        <v>51</v>
      </c>
      <c r="H61" s="19" t="s"/>
      <c r="I61" s="19" t="s"/>
      <c r="J61" s="19" t="s"/>
      <c r="K61" s="19" t="s"/>
      <c r="L61" s="19" t="s"/>
      <c r="M61" s="19" t="s"/>
    </row>
    <row r="62" spans="1:13">
      <c r="A62" s="6" t="s"/>
      <c r="B62" s="6" t="s"/>
      <c r="C62" s="32" t="s"/>
      <c r="D62" s="6" t="s"/>
      <c r="E62" s="18" t="s">
        <v>17</v>
      </c>
      <c r="F62" s="28" t="s">
        <v>41</v>
      </c>
      <c r="G62" s="28" t="s">
        <v>15</v>
      </c>
      <c r="H62" s="28" t="s">
        <v>42</v>
      </c>
      <c r="I62" s="28" t="s">
        <v>67</v>
      </c>
      <c r="J62" s="19" t="s"/>
      <c r="K62" s="19" t="s"/>
      <c r="L62" s="19" t="s"/>
      <c r="M62" s="28" t="s">
        <v>72</v>
      </c>
    </row>
    <row r="63" spans="1:13">
      <c r="A63" s="6" t="s"/>
      <c r="B63" s="6" t="s"/>
      <c r="C63" s="32" t="s"/>
      <c r="D63" s="6" t="s"/>
      <c r="E63" s="18" t="s">
        <v>22</v>
      </c>
      <c r="F63" s="47" t="s">
        <v>63</v>
      </c>
      <c r="G63" s="47" t="s">
        <v>68</v>
      </c>
      <c r="H63" s="47" t="s">
        <v>25</v>
      </c>
      <c r="I63" s="42" t="s">
        <v>69</v>
      </c>
      <c r="J63" s="47" t="s">
        <v>64</v>
      </c>
      <c r="K63" s="47" t="s">
        <v>112</v>
      </c>
      <c r="L63" s="41" t="s"/>
      <c r="M63" s="41" t="s">
        <v>118</v>
      </c>
    </row>
    <row r="64" spans="1:13">
      <c r="A64" s="6" t="s"/>
      <c r="B64" s="15" t="s">
        <v>119</v>
      </c>
      <c r="C64" s="43" t="s">
        <v>103</v>
      </c>
      <c r="D64" s="17" t="s">
        <v>12</v>
      </c>
      <c r="E64" s="18" t="s">
        <v>13</v>
      </c>
      <c r="F64" s="28" t="s">
        <v>14</v>
      </c>
      <c r="G64" s="28" t="s">
        <v>15</v>
      </c>
      <c r="H64" s="19" t="s"/>
      <c r="I64" s="19" t="s"/>
      <c r="J64" s="19" t="s"/>
      <c r="K64" s="19" t="s"/>
      <c r="L64" s="19" t="s"/>
      <c r="M64" s="48" t="s">
        <v>79</v>
      </c>
    </row>
    <row r="65" spans="1:13">
      <c r="A65" s="6" t="s"/>
      <c r="B65" s="6" t="s"/>
      <c r="C65" s="32" t="s"/>
      <c r="D65" s="6" t="s"/>
      <c r="E65" s="18" t="s">
        <v>17</v>
      </c>
      <c r="F65" s="19" t="s">
        <v>41</v>
      </c>
      <c r="G65" s="19" t="s">
        <v>15</v>
      </c>
      <c r="H65" s="19" t="s">
        <v>81</v>
      </c>
      <c r="I65" s="19" t="s">
        <v>20</v>
      </c>
      <c r="J65" s="19" t="s"/>
      <c r="K65" s="19" t="s"/>
      <c r="L65" s="19" t="s"/>
      <c r="M65" s="21" t="s">
        <v>21</v>
      </c>
    </row>
    <row r="66" spans="1:13">
      <c r="A66" s="6" t="s"/>
      <c r="B66" s="6" t="s"/>
      <c r="C66" s="32" t="s"/>
      <c r="D66" s="6" t="s"/>
      <c r="E66" s="18" t="s">
        <v>22</v>
      </c>
      <c r="F66" s="41" t="s">
        <v>44</v>
      </c>
      <c r="G66" s="41" t="s">
        <v>45</v>
      </c>
      <c r="H66" s="41" t="s">
        <v>46</v>
      </c>
      <c r="I66" s="41" t="s">
        <v>120</v>
      </c>
      <c r="J66" s="41" t="s">
        <v>36</v>
      </c>
      <c r="K66" s="41" t="s">
        <v>112</v>
      </c>
      <c r="L66" s="41" t="s"/>
      <c r="M66" s="41" t="s">
        <v>121</v>
      </c>
    </row>
    <row r="67" spans="1:13">
      <c r="A67" s="6" t="s"/>
      <c r="B67" s="15" t="s">
        <v>122</v>
      </c>
      <c r="C67" s="38" t="s"/>
      <c r="D67" s="17" t="s">
        <v>12</v>
      </c>
      <c r="E67" s="18" t="s">
        <v>13</v>
      </c>
      <c r="F67" s="19" t="s">
        <v>39</v>
      </c>
      <c r="G67" s="19" t="s">
        <v>34</v>
      </c>
      <c r="H67" s="19" t="s"/>
      <c r="I67" s="19" t="s"/>
      <c r="J67" s="19" t="s"/>
      <c r="K67" s="19" t="s"/>
      <c r="L67" s="19" t="s"/>
      <c r="M67" s="19" t="s">
        <v>62</v>
      </c>
    </row>
    <row r="68" spans="1:13">
      <c r="A68" s="6" t="s"/>
      <c r="B68" s="6" t="s"/>
      <c r="C68" s="32" t="s"/>
      <c r="D68" s="6" t="s"/>
      <c r="E68" s="18" t="s">
        <v>17</v>
      </c>
      <c r="F68" s="19" t="s">
        <v>123</v>
      </c>
      <c r="G68" s="19" t="s">
        <v>76</v>
      </c>
      <c r="H68" s="19" t="s">
        <v>124</v>
      </c>
      <c r="I68" s="19" t="s">
        <v>125</v>
      </c>
      <c r="J68" s="19" t="s"/>
      <c r="K68" s="19" t="s"/>
      <c r="L68" s="19" t="s"/>
      <c r="M68" s="19" t="s">
        <v>79</v>
      </c>
    </row>
    <row r="69" spans="1:13">
      <c r="A69" s="6" t="s"/>
      <c r="B69" s="6" t="s"/>
      <c r="C69" s="32" t="s"/>
      <c r="D69" s="6" t="s"/>
      <c r="E69" s="18" t="s">
        <v>22</v>
      </c>
      <c r="F69" s="19" t="s">
        <v>23</v>
      </c>
      <c r="G69" s="19" t="s">
        <v>106</v>
      </c>
      <c r="H69" s="19" t="s">
        <v>25</v>
      </c>
      <c r="I69" s="19" t="s">
        <v>120</v>
      </c>
      <c r="J69" s="19" t="s">
        <v>36</v>
      </c>
      <c r="K69" s="19" t="s">
        <v>112</v>
      </c>
      <c r="L69" s="19" t="s"/>
      <c r="M69" s="21" t="s">
        <v>21</v>
      </c>
    </row>
    <row r="70" spans="1:13">
      <c r="A70" s="6" t="s"/>
      <c r="B70" s="15" t="s">
        <v>126</v>
      </c>
      <c r="C70" s="43" t="s">
        <v>103</v>
      </c>
      <c r="D70" s="17" t="s">
        <v>12</v>
      </c>
      <c r="E70" s="18" t="s">
        <v>13</v>
      </c>
      <c r="F70" s="19" t="s">
        <v>14</v>
      </c>
      <c r="G70" s="19" t="s">
        <v>51</v>
      </c>
      <c r="H70" s="19" t="s"/>
      <c r="I70" s="19" t="s"/>
      <c r="J70" s="19" t="s"/>
      <c r="K70" s="19" t="s"/>
      <c r="L70" s="19" t="s"/>
      <c r="M70" s="21" t="s">
        <v>21</v>
      </c>
    </row>
    <row r="71" spans="1:13">
      <c r="A71" s="6" t="s"/>
      <c r="B71" s="6" t="s"/>
      <c r="C71" s="32" t="s"/>
      <c r="D71" s="6" t="s"/>
      <c r="E71" s="18" t="s">
        <v>17</v>
      </c>
      <c r="F71" s="21" t="s">
        <v>41</v>
      </c>
      <c r="G71" s="19" t="s">
        <v>15</v>
      </c>
      <c r="H71" s="19" t="s">
        <v>39</v>
      </c>
      <c r="I71" s="19" t="s">
        <v>67</v>
      </c>
      <c r="J71" s="19" t="s"/>
      <c r="K71" s="19" t="s"/>
      <c r="L71" s="19" t="s"/>
      <c r="M71" s="19" t="s">
        <v>127</v>
      </c>
    </row>
    <row r="72" spans="1:13">
      <c r="A72" s="6" t="s"/>
      <c r="B72" s="6" t="s"/>
      <c r="C72" s="32" t="s"/>
      <c r="D72" s="6" t="s"/>
      <c r="E72" s="18" t="s">
        <v>22</v>
      </c>
      <c r="F72" s="19" t="s">
        <v>128</v>
      </c>
      <c r="G72" s="19" t="s">
        <v>54</v>
      </c>
      <c r="H72" s="19" t="s">
        <v>55</v>
      </c>
      <c r="I72" s="19" t="s">
        <v>129</v>
      </c>
      <c r="J72" s="19" t="s">
        <v>27</v>
      </c>
      <c r="K72" s="19" t="s">
        <v>130</v>
      </c>
      <c r="L72" s="19" t="s"/>
      <c r="M72" s="19" t="s">
        <v>131</v>
      </c>
    </row>
    <row r="73" spans="1:13">
      <c r="A73" s="6" t="s"/>
      <c r="B73" s="15" t="s">
        <v>132</v>
      </c>
      <c r="C73" s="38" t="s"/>
      <c r="D73" s="17" t="s">
        <v>12</v>
      </c>
      <c r="E73" s="18" t="s">
        <v>13</v>
      </c>
      <c r="F73" s="28" t="s">
        <v>14</v>
      </c>
      <c r="G73" s="28" t="s">
        <v>51</v>
      </c>
      <c r="H73" s="19" t="s"/>
      <c r="I73" s="19" t="s"/>
      <c r="J73" s="19" t="s"/>
      <c r="K73" s="19" t="s"/>
      <c r="L73" s="19" t="s"/>
      <c r="M73" s="19" t="s"/>
    </row>
    <row r="74" spans="1:13">
      <c r="A74" s="6" t="s"/>
      <c r="B74" s="6" t="s"/>
      <c r="C74" s="32" t="s"/>
      <c r="D74" s="6" t="s"/>
      <c r="E74" s="18" t="s">
        <v>17</v>
      </c>
      <c r="F74" s="19" t="s">
        <v>33</v>
      </c>
      <c r="G74" s="19" t="s">
        <v>76</v>
      </c>
      <c r="H74" s="19" t="s">
        <v>42</v>
      </c>
      <c r="I74" s="19" t="s">
        <v>20</v>
      </c>
      <c r="J74" s="19" t="s"/>
      <c r="K74" s="19" t="s"/>
      <c r="L74" s="19" t="s"/>
      <c r="M74" s="19" t="s">
        <v>60</v>
      </c>
    </row>
    <row r="75" spans="1:13">
      <c r="A75" s="6" t="s"/>
      <c r="B75" s="6" t="s"/>
      <c r="C75" s="32" t="s"/>
      <c r="D75" s="6" t="s"/>
      <c r="E75" s="18" t="s">
        <v>22</v>
      </c>
      <c r="F75" s="41" t="s">
        <v>23</v>
      </c>
      <c r="G75" s="41" t="s">
        <v>106</v>
      </c>
      <c r="H75" s="41" t="s">
        <v>46</v>
      </c>
      <c r="I75" s="41" t="s">
        <v>120</v>
      </c>
      <c r="J75" s="41" t="s">
        <v>64</v>
      </c>
      <c r="K75" s="41" t="s">
        <v>112</v>
      </c>
      <c r="L75" s="41" t="s"/>
      <c r="M75" s="41" t="s">
        <v>133</v>
      </c>
    </row>
    <row r="76" spans="1:13">
      <c r="A76" s="6" t="s"/>
      <c r="B76" s="15" t="s">
        <v>134</v>
      </c>
      <c r="C76" s="16" t="s"/>
      <c r="D76" s="17" t="s">
        <v>12</v>
      </c>
      <c r="E76" s="18" t="s">
        <v>13</v>
      </c>
      <c r="F76" s="19" t="s">
        <v>124</v>
      </c>
      <c r="G76" s="19" t="s">
        <v>135</v>
      </c>
      <c r="H76" s="19" t="s"/>
      <c r="I76" s="19" t="s"/>
      <c r="J76" s="19" t="s"/>
      <c r="K76" s="19" t="s"/>
      <c r="L76" s="19" t="s"/>
      <c r="M76" s="19" t="s">
        <v>91</v>
      </c>
    </row>
    <row r="77" spans="1:13">
      <c r="A77" s="6" t="s"/>
      <c r="B77" s="6" t="s"/>
      <c r="C77" s="32" t="s"/>
      <c r="D77" s="6" t="s"/>
      <c r="E77" s="18" t="s">
        <v>17</v>
      </c>
      <c r="F77" s="19" t="s">
        <v>41</v>
      </c>
      <c r="G77" s="19" t="s">
        <v>14</v>
      </c>
      <c r="H77" s="19" t="s">
        <v>39</v>
      </c>
      <c r="I77" s="19" t="s">
        <v>67</v>
      </c>
      <c r="J77" s="19" t="s"/>
      <c r="K77" s="19" t="s"/>
      <c r="L77" s="19" t="s"/>
      <c r="M77" s="19" t="s">
        <v>60</v>
      </c>
    </row>
    <row r="78" spans="1:13">
      <c r="A78" s="6" t="s"/>
      <c r="B78" s="6" t="s"/>
      <c r="C78" s="32" t="s"/>
      <c r="D78" s="6" t="s"/>
      <c r="E78" s="18" t="s">
        <v>22</v>
      </c>
      <c r="F78" s="28" t="s">
        <v>63</v>
      </c>
      <c r="G78" s="28" t="s">
        <v>136</v>
      </c>
      <c r="H78" s="28" t="s">
        <v>46</v>
      </c>
      <c r="I78" s="28" t="s">
        <v>69</v>
      </c>
      <c r="J78" s="28" t="s">
        <v>64</v>
      </c>
      <c r="K78" s="28" t="s">
        <v>112</v>
      </c>
      <c r="L78" s="19" t="s"/>
      <c r="M78" s="19" t="s"/>
    </row>
    <row r="79" spans="1:13">
      <c r="A79" s="6" t="s"/>
      <c r="B79" s="15" t="s">
        <v>137</v>
      </c>
      <c r="C79" s="22" t="s"/>
      <c r="D79" s="17" t="s">
        <v>12</v>
      </c>
      <c r="E79" s="18" t="s">
        <v>13</v>
      </c>
      <c r="F79" s="28" t="s">
        <v>39</v>
      </c>
      <c r="G79" s="28" t="s">
        <v>34</v>
      </c>
      <c r="H79" s="19" t="s"/>
      <c r="I79" s="19" t="s"/>
      <c r="J79" s="19" t="s"/>
      <c r="K79" s="19" t="s"/>
      <c r="L79" s="19" t="s"/>
      <c r="M79" s="19" t="s"/>
    </row>
    <row r="80" spans="1:13">
      <c r="A80" s="6" t="s"/>
      <c r="B80" s="6" t="s"/>
      <c r="C80" s="32" t="s"/>
      <c r="D80" s="6" t="s"/>
      <c r="E80" s="18" t="s">
        <v>17</v>
      </c>
      <c r="F80" s="19" t="s">
        <v>33</v>
      </c>
      <c r="G80" s="19" t="s">
        <v>138</v>
      </c>
      <c r="H80" s="19" t="s">
        <v>81</v>
      </c>
      <c r="I80" s="19" t="s">
        <v>43</v>
      </c>
      <c r="J80" s="19" t="s"/>
      <c r="K80" s="19" t="s"/>
      <c r="L80" s="19" t="s"/>
      <c r="M80" s="21" t="s">
        <v>21</v>
      </c>
    </row>
    <row r="81" spans="1:13">
      <c r="A81" s="6" t="s"/>
      <c r="B81" s="6" t="s"/>
      <c r="C81" s="32" t="s"/>
      <c r="D81" s="6" t="s"/>
      <c r="E81" s="18" t="s">
        <v>22</v>
      </c>
      <c r="F81" s="28" t="s">
        <v>23</v>
      </c>
      <c r="G81" s="28" t="s">
        <v>106</v>
      </c>
      <c r="H81" s="28" t="s">
        <v>25</v>
      </c>
      <c r="I81" s="28" t="s">
        <v>26</v>
      </c>
      <c r="J81" s="34" t="s">
        <v>36</v>
      </c>
      <c r="K81" s="28" t="s">
        <v>112</v>
      </c>
      <c r="L81" s="19" t="s"/>
      <c r="M81" s="28" t="s">
        <v>40</v>
      </c>
    </row>
    <row r="82" spans="1:13">
      <c r="A82" s="6" t="s"/>
      <c r="B82" s="15" t="s">
        <v>139</v>
      </c>
      <c r="C82" s="16" t="s"/>
      <c r="D82" s="17" t="s">
        <v>12</v>
      </c>
      <c r="E82" s="18" t="s">
        <v>13</v>
      </c>
      <c r="F82" s="19" t="s">
        <v>15</v>
      </c>
      <c r="G82" s="19" t="s">
        <v>34</v>
      </c>
      <c r="H82" s="19" t="s"/>
      <c r="I82" s="19" t="s"/>
      <c r="J82" s="19" t="s"/>
      <c r="K82" s="19" t="s"/>
      <c r="L82" s="19" t="s"/>
      <c r="M82" s="19" t="s">
        <v>40</v>
      </c>
    </row>
    <row r="83" spans="1:13">
      <c r="A83" s="6" t="s"/>
      <c r="B83" s="6" t="s"/>
      <c r="C83" s="32" t="s"/>
      <c r="D83" s="6" t="s"/>
      <c r="E83" s="18" t="s">
        <v>17</v>
      </c>
      <c r="F83" s="19" t="s"/>
      <c r="G83" s="19" t="s"/>
      <c r="H83" s="19" t="s"/>
      <c r="I83" s="19" t="s"/>
      <c r="J83" s="19" t="s"/>
      <c r="K83" s="19" t="s"/>
      <c r="L83" s="19" t="s"/>
      <c r="M83" s="19" t="s"/>
    </row>
    <row r="84" spans="1:13">
      <c r="A84" s="6" t="s"/>
      <c r="B84" s="6" t="s"/>
      <c r="C84" s="32" t="s"/>
      <c r="D84" s="6" t="s"/>
      <c r="E84" s="18" t="s">
        <v>22</v>
      </c>
      <c r="F84" s="19" t="s">
        <v>63</v>
      </c>
      <c r="G84" s="19" t="s">
        <v>68</v>
      </c>
      <c r="H84" s="19" t="s">
        <v>25</v>
      </c>
      <c r="I84" s="19" t="s">
        <v>69</v>
      </c>
      <c r="J84" s="19" t="s">
        <v>36</v>
      </c>
      <c r="K84" s="19" t="s">
        <v>112</v>
      </c>
      <c r="L84" s="19" t="s"/>
      <c r="M84" s="21" t="s">
        <v>21</v>
      </c>
    </row>
    <row r="85" spans="1:13">
      <c r="A85" s="6" t="s"/>
      <c r="B85" s="15" t="s">
        <v>140</v>
      </c>
      <c r="C85" s="27" t="s">
        <v>103</v>
      </c>
      <c r="D85" s="17" t="s">
        <v>12</v>
      </c>
      <c r="E85" s="18" t="s">
        <v>13</v>
      </c>
      <c r="F85" s="19" t="s">
        <v>15</v>
      </c>
      <c r="G85" s="19" t="s">
        <v>34</v>
      </c>
      <c r="H85" s="19" t="s"/>
      <c r="I85" s="19" t="s"/>
      <c r="J85" s="19" t="s"/>
      <c r="K85" s="19" t="s"/>
      <c r="L85" s="19" t="s"/>
      <c r="M85" s="19" t="s">
        <v>40</v>
      </c>
    </row>
    <row r="86" spans="1:13">
      <c r="A86" s="6" t="s"/>
      <c r="B86" s="6" t="s"/>
      <c r="C86" s="32" t="s"/>
      <c r="D86" s="6" t="s"/>
      <c r="E86" s="18" t="s">
        <v>17</v>
      </c>
      <c r="F86" s="19" t="s">
        <v>41</v>
      </c>
      <c r="G86" s="19" t="s">
        <v>15</v>
      </c>
      <c r="H86" s="19" t="s">
        <v>39</v>
      </c>
      <c r="I86" s="19" t="s">
        <v>43</v>
      </c>
      <c r="J86" s="19" t="s"/>
      <c r="K86" s="19" t="s"/>
      <c r="L86" s="19" t="s"/>
      <c r="M86" s="21" t="s">
        <v>21</v>
      </c>
    </row>
    <row r="87" spans="1:13">
      <c r="A87" s="6" t="s"/>
      <c r="B87" s="6" t="s"/>
      <c r="C87" s="32" t="s"/>
      <c r="D87" s="6" t="s"/>
      <c r="E87" s="18" t="s">
        <v>22</v>
      </c>
      <c r="F87" s="19" t="s">
        <v>44</v>
      </c>
      <c r="G87" s="19" t="s">
        <v>68</v>
      </c>
      <c r="H87" s="19" t="s">
        <v>46</v>
      </c>
      <c r="I87" s="19" t="s">
        <v>78</v>
      </c>
      <c r="J87" s="19" t="s">
        <v>64</v>
      </c>
      <c r="K87" s="19" t="s">
        <v>112</v>
      </c>
      <c r="L87" s="19" t="s"/>
      <c r="M87" s="19" t="s"/>
    </row>
    <row r="88" spans="1:13">
      <c r="A88" s="6" t="s"/>
      <c r="B88" s="15" t="s">
        <v>141</v>
      </c>
      <c r="C88" s="43" t="s">
        <v>103</v>
      </c>
      <c r="D88" s="17" t="s">
        <v>12</v>
      </c>
      <c r="E88" s="18" t="s">
        <v>13</v>
      </c>
      <c r="F88" s="19" t="s">
        <v>15</v>
      </c>
      <c r="G88" s="19" t="s">
        <v>34</v>
      </c>
      <c r="H88" s="19" t="s"/>
      <c r="I88" s="19" t="s"/>
      <c r="J88" s="19" t="s"/>
      <c r="K88" s="19" t="s"/>
      <c r="L88" s="19" t="s"/>
      <c r="M88" s="19" t="s">
        <v>60</v>
      </c>
    </row>
    <row r="89" spans="1:13">
      <c r="A89" s="6" t="s"/>
      <c r="B89" s="6" t="s"/>
      <c r="C89" s="32" t="s"/>
      <c r="D89" s="6" t="s"/>
      <c r="E89" s="18" t="s">
        <v>17</v>
      </c>
      <c r="F89" s="19" t="s">
        <v>33</v>
      </c>
      <c r="G89" s="19" t="s">
        <v>19</v>
      </c>
      <c r="H89" s="19" t="s">
        <v>42</v>
      </c>
      <c r="I89" s="19" t="s">
        <v>101</v>
      </c>
      <c r="J89" s="19" t="s"/>
      <c r="K89" s="19" t="s"/>
      <c r="L89" s="19" t="s"/>
      <c r="M89" s="21" t="s">
        <v>21</v>
      </c>
    </row>
    <row r="90" spans="1:13">
      <c r="A90" s="6" t="s"/>
      <c r="B90" s="6" t="s"/>
      <c r="C90" s="32" t="s"/>
      <c r="D90" s="6" t="s"/>
      <c r="E90" s="18" t="s">
        <v>22</v>
      </c>
      <c r="F90" s="28" t="s">
        <v>44</v>
      </c>
      <c r="G90" s="28" t="s">
        <v>45</v>
      </c>
      <c r="H90" s="28" t="s">
        <v>46</v>
      </c>
      <c r="I90" s="28" t="s">
        <v>26</v>
      </c>
      <c r="J90" s="34" t="s">
        <v>36</v>
      </c>
      <c r="K90" s="28" t="s">
        <v>112</v>
      </c>
      <c r="L90" s="19" t="s"/>
      <c r="M90" s="28" t="s">
        <v>32</v>
      </c>
    </row>
    <row r="91" spans="1:13">
      <c r="A91" s="49" t="s">
        <v>142</v>
      </c>
      <c r="B91" s="15" t="s">
        <v>143</v>
      </c>
      <c r="C91" s="43" t="s"/>
      <c r="D91" s="17" t="s">
        <v>12</v>
      </c>
      <c r="E91" s="18" t="s">
        <v>13</v>
      </c>
      <c r="F91" s="19" t="s">
        <v>42</v>
      </c>
      <c r="G91" s="19" t="s">
        <v>51</v>
      </c>
      <c r="H91" s="19" t="s"/>
      <c r="I91" s="19" t="s"/>
      <c r="J91" s="19" t="s"/>
      <c r="K91" s="19" t="s"/>
      <c r="L91" s="19" t="s"/>
      <c r="M91" s="19" t="s">
        <v>40</v>
      </c>
    </row>
    <row r="92" spans="1:13">
      <c r="A92" s="6" t="s"/>
      <c r="B92" s="6" t="s"/>
      <c r="C92" s="20" t="s"/>
      <c r="D92" s="6" t="s"/>
      <c r="E92" s="18" t="s">
        <v>17</v>
      </c>
      <c r="F92" s="19" t="s">
        <v>41</v>
      </c>
      <c r="G92" s="19" t="s">
        <v>15</v>
      </c>
      <c r="H92" s="50" t="s">
        <v>42</v>
      </c>
      <c r="I92" s="19" t="s">
        <v>67</v>
      </c>
      <c r="J92" s="19" t="s"/>
      <c r="K92" s="19" t="s"/>
      <c r="L92" s="19" t="s"/>
      <c r="M92" s="21" t="s">
        <v>21</v>
      </c>
    </row>
    <row r="93" spans="1:13">
      <c r="A93" s="6" t="s"/>
      <c r="B93" s="6" t="s"/>
      <c r="C93" s="20" t="s"/>
      <c r="D93" s="6" t="s"/>
      <c r="E93" s="18" t="s">
        <v>22</v>
      </c>
      <c r="F93" s="28" t="s">
        <v>44</v>
      </c>
      <c r="G93" s="28" t="s">
        <v>106</v>
      </c>
      <c r="H93" s="28" t="s">
        <v>46</v>
      </c>
      <c r="I93" s="28" t="s">
        <v>69</v>
      </c>
      <c r="J93" s="28" t="s">
        <v>64</v>
      </c>
      <c r="K93" s="28" t="s">
        <v>144</v>
      </c>
      <c r="L93" s="19" t="s"/>
      <c r="M93" s="48" t="s">
        <v>104</v>
      </c>
    </row>
    <row r="94" spans="1:13">
      <c r="A94" s="6" t="s"/>
      <c r="B94" s="15" t="s">
        <v>145</v>
      </c>
      <c r="C94" s="43" t="s"/>
      <c r="D94" s="17" t="s">
        <v>12</v>
      </c>
      <c r="E94" s="18" t="s">
        <v>13</v>
      </c>
      <c r="F94" s="28" t="s">
        <v>14</v>
      </c>
      <c r="G94" s="28" t="s">
        <v>15</v>
      </c>
      <c r="H94" s="19" t="s"/>
      <c r="I94" s="19" t="s"/>
      <c r="J94" s="19" t="s"/>
      <c r="K94" s="19" t="s"/>
      <c r="L94" s="19" t="s"/>
      <c r="M94" s="28" t="s">
        <v>50</v>
      </c>
    </row>
    <row r="95" spans="1:13">
      <c r="A95" s="6" t="s"/>
      <c r="B95" s="6" t="s"/>
      <c r="C95" s="20" t="s"/>
      <c r="D95" s="6" t="s"/>
      <c r="E95" s="18" t="s">
        <v>17</v>
      </c>
      <c r="F95" s="21" t="s">
        <v>18</v>
      </c>
      <c r="G95" s="19" t="s">
        <v>19</v>
      </c>
      <c r="H95" s="19" t="s">
        <v>15</v>
      </c>
      <c r="I95" s="19" t="s">
        <v>125</v>
      </c>
      <c r="J95" s="19" t="s"/>
      <c r="K95" s="19" t="s"/>
      <c r="L95" s="19" t="s"/>
      <c r="M95" s="19" t="s">
        <v>146</v>
      </c>
    </row>
    <row r="96" spans="1:13">
      <c r="A96" s="6" t="s"/>
      <c r="B96" s="6" t="s"/>
      <c r="C96" s="20" t="s"/>
      <c r="D96" s="6" t="s"/>
      <c r="E96" s="18" t="s">
        <v>22</v>
      </c>
      <c r="F96" s="19" t="s"/>
      <c r="G96" s="19" t="s"/>
      <c r="H96" s="19" t="s"/>
      <c r="I96" s="19" t="s"/>
      <c r="J96" s="19" t="s"/>
      <c r="K96" s="19" t="s"/>
      <c r="L96" s="19" t="s"/>
      <c r="M96" s="19" t="s"/>
    </row>
    <row r="97" spans="1:13">
      <c r="A97" s="6" t="s"/>
      <c r="B97" s="15" t="s">
        <v>147</v>
      </c>
      <c r="C97" s="22" t="s"/>
      <c r="D97" s="17" t="s">
        <v>12</v>
      </c>
      <c r="E97" s="18" t="s">
        <v>13</v>
      </c>
      <c r="F97" s="28" t="s">
        <v>39</v>
      </c>
      <c r="G97" s="28" t="s">
        <v>34</v>
      </c>
      <c r="H97" s="19" t="s"/>
      <c r="I97" s="19" t="s"/>
      <c r="J97" s="19" t="s"/>
      <c r="K97" s="19" t="s"/>
      <c r="L97" s="19" t="s"/>
      <c r="M97" s="19" t="s"/>
    </row>
    <row r="98" spans="1:13">
      <c r="A98" s="6" t="s"/>
      <c r="B98" s="6" t="s"/>
      <c r="C98" s="20" t="s"/>
      <c r="D98" s="6" t="s"/>
      <c r="E98" s="18" t="s">
        <v>17</v>
      </c>
      <c r="F98" s="19" t="s">
        <v>34</v>
      </c>
      <c r="G98" s="19" t="s">
        <v>33</v>
      </c>
      <c r="H98" s="19" t="s">
        <v>15</v>
      </c>
      <c r="I98" s="19" t="s">
        <v>20</v>
      </c>
      <c r="J98" s="19" t="s"/>
      <c r="K98" s="19" t="s"/>
      <c r="L98" s="19" t="s"/>
      <c r="M98" s="19" t="s"/>
    </row>
    <row r="99" spans="1:13">
      <c r="A99" s="6" t="s"/>
      <c r="B99" s="6" t="s"/>
      <c r="C99" s="20" t="s"/>
      <c r="D99" s="6" t="s"/>
      <c r="E99" s="18" t="s">
        <v>22</v>
      </c>
      <c r="F99" s="19" t="s">
        <v>84</v>
      </c>
      <c r="G99" s="19" t="s">
        <v>24</v>
      </c>
      <c r="H99" s="19" t="s">
        <v>55</v>
      </c>
      <c r="I99" s="19" t="s">
        <v>148</v>
      </c>
      <c r="J99" s="19" t="s">
        <v>27</v>
      </c>
      <c r="K99" s="19" t="s">
        <v>149</v>
      </c>
      <c r="L99" s="19" t="s"/>
      <c r="M99" s="19" t="s">
        <v>131</v>
      </c>
    </row>
    <row r="100" spans="1:13">
      <c r="A100" s="6" t="s"/>
      <c r="B100" s="15" t="s">
        <v>150</v>
      </c>
      <c r="C100" s="16" t="s"/>
      <c r="D100" s="17" t="s">
        <v>12</v>
      </c>
      <c r="E100" s="18" t="s">
        <v>13</v>
      </c>
      <c r="F100" s="19" t="s">
        <v>151</v>
      </c>
      <c r="G100" s="19" t="s">
        <v>124</v>
      </c>
      <c r="H100" s="19" t="s"/>
      <c r="I100" s="19" t="s"/>
      <c r="J100" s="19" t="s"/>
      <c r="K100" s="19" t="s"/>
      <c r="L100" s="19" t="s"/>
      <c r="M100" s="19" t="s">
        <v>152</v>
      </c>
    </row>
    <row r="101" spans="1:13">
      <c r="A101" s="6" t="s"/>
      <c r="B101" s="6" t="s"/>
      <c r="C101" s="20" t="s"/>
      <c r="D101" s="6" t="s"/>
      <c r="E101" s="18" t="s">
        <v>17</v>
      </c>
      <c r="F101" s="28" t="s">
        <v>33</v>
      </c>
      <c r="G101" s="28" t="s">
        <v>98</v>
      </c>
      <c r="H101" s="28" t="s">
        <v>34</v>
      </c>
      <c r="I101" s="28" t="s">
        <v>19</v>
      </c>
      <c r="J101" s="19" t="s"/>
      <c r="K101" s="19" t="s"/>
      <c r="L101" s="19" t="s"/>
      <c r="M101" s="19" t="s"/>
    </row>
    <row r="102" spans="1:13">
      <c r="A102" s="6" t="s"/>
      <c r="B102" s="6" t="s"/>
      <c r="C102" s="20" t="s"/>
      <c r="D102" s="6" t="s"/>
      <c r="E102" s="18" t="s">
        <v>22</v>
      </c>
      <c r="F102" s="28" t="s">
        <v>63</v>
      </c>
      <c r="G102" s="28" t="s">
        <v>106</v>
      </c>
      <c r="H102" s="28" t="s">
        <v>46</v>
      </c>
      <c r="I102" s="28" t="s">
        <v>120</v>
      </c>
      <c r="J102" s="28" t="s">
        <v>153</v>
      </c>
      <c r="K102" s="28" t="s">
        <v>144</v>
      </c>
      <c r="L102" s="19" t="s"/>
      <c r="M102" s="19" t="s"/>
    </row>
    <row r="103" spans="1:13">
      <c r="A103" s="51" t="s">
        <v>154</v>
      </c>
      <c r="B103" s="15" t="s">
        <v>155</v>
      </c>
      <c r="C103" s="22" t="s"/>
      <c r="D103" s="52" t="s">
        <v>12</v>
      </c>
      <c r="E103" s="18" t="s">
        <v>13</v>
      </c>
      <c r="F103" s="19" t="s">
        <v>14</v>
      </c>
      <c r="G103" s="19" t="s">
        <v>15</v>
      </c>
      <c r="H103" s="19" t="s"/>
      <c r="I103" s="19" t="s"/>
      <c r="J103" s="19" t="s"/>
      <c r="K103" s="19" t="s"/>
      <c r="L103" s="19" t="s"/>
      <c r="M103" s="19" t="s">
        <v>60</v>
      </c>
    </row>
    <row r="104" spans="1:13">
      <c r="A104" s="6" t="s"/>
      <c r="B104" s="6" t="s"/>
      <c r="C104" s="32" t="s"/>
      <c r="D104" s="6" t="s"/>
      <c r="E104" s="18" t="s">
        <v>17</v>
      </c>
      <c r="F104" s="19" t="s">
        <v>41</v>
      </c>
      <c r="G104" s="19" t="s">
        <v>15</v>
      </c>
      <c r="H104" s="19" t="s">
        <v>39</v>
      </c>
      <c r="I104" s="19" t="s">
        <v>67</v>
      </c>
      <c r="J104" s="19" t="s"/>
      <c r="K104" s="19" t="s"/>
      <c r="L104" s="19" t="s"/>
      <c r="M104" s="19" t="s">
        <v>111</v>
      </c>
    </row>
    <row r="105" spans="1:13">
      <c r="A105" s="6" t="s"/>
      <c r="B105" s="6" t="s"/>
      <c r="C105" s="32" t="s"/>
      <c r="D105" s="6" t="s"/>
      <c r="E105" s="18" t="s">
        <v>22</v>
      </c>
      <c r="F105" s="19" t="s">
        <v>23</v>
      </c>
      <c r="G105" s="19" t="s">
        <v>45</v>
      </c>
      <c r="H105" s="19" t="s">
        <v>46</v>
      </c>
      <c r="I105" s="19" t="s">
        <v>96</v>
      </c>
      <c r="J105" s="19" t="s">
        <v>64</v>
      </c>
      <c r="K105" s="46" t="s">
        <v>156</v>
      </c>
      <c r="L105" s="19" t="s"/>
      <c r="M105" s="19" t="s">
        <v>21</v>
      </c>
    </row>
    <row r="106" spans="1:13">
      <c r="A106" s="6" t="s"/>
      <c r="B106" s="6" t="s"/>
      <c r="C106" s="27" t="s"/>
      <c r="D106" s="53" t="s">
        <v>29</v>
      </c>
      <c r="E106" s="23" t="s">
        <v>13</v>
      </c>
      <c r="F106" s="25" t="s">
        <v>113</v>
      </c>
      <c r="G106" s="25" t="s">
        <v>157</v>
      </c>
      <c r="H106" s="25" t="s"/>
      <c r="I106" s="25" t="s"/>
      <c r="J106" s="25" t="s"/>
      <c r="K106" s="25" t="s"/>
      <c r="L106" s="25" t="s"/>
      <c r="M106" s="25" t="s">
        <v>91</v>
      </c>
    </row>
    <row r="107" spans="1:13">
      <c r="A107" s="6" t="s"/>
      <c r="B107" s="6" t="s"/>
      <c r="C107" s="32" t="s"/>
      <c r="D107" s="6" t="s"/>
      <c r="E107" s="23" t="s">
        <v>17</v>
      </c>
      <c r="F107" s="24" t="s">
        <v>41</v>
      </c>
      <c r="G107" s="24" t="s">
        <v>158</v>
      </c>
      <c r="H107" s="24" t="s">
        <v>81</v>
      </c>
      <c r="I107" s="24" t="s">
        <v>43</v>
      </c>
      <c r="J107" s="25" t="s"/>
      <c r="K107" s="25" t="s"/>
      <c r="L107" s="25" t="s"/>
      <c r="M107" s="24" t="s">
        <v>40</v>
      </c>
    </row>
    <row r="108" spans="1:13">
      <c r="A108" s="6" t="s"/>
      <c r="B108" s="6" t="s"/>
      <c r="C108" s="32" t="s"/>
      <c r="D108" s="6" t="s"/>
      <c r="E108" s="23" t="s">
        <v>22</v>
      </c>
      <c r="F108" s="46" t="s">
        <v>44</v>
      </c>
      <c r="G108" s="46" t="s">
        <v>45</v>
      </c>
      <c r="H108" s="46" t="s">
        <v>46</v>
      </c>
      <c r="I108" s="46" t="s">
        <v>96</v>
      </c>
      <c r="J108" s="54" t="s">
        <v>159</v>
      </c>
      <c r="K108" s="46" t="s">
        <v>156</v>
      </c>
      <c r="L108" s="25" t="s"/>
      <c r="M108" s="25" t="s"/>
    </row>
    <row r="109" spans="1:13">
      <c r="A109" s="6" t="s"/>
      <c r="B109" s="15" t="s">
        <v>160</v>
      </c>
      <c r="C109" s="38" t="s"/>
      <c r="D109" s="17" t="s">
        <v>12</v>
      </c>
      <c r="E109" s="18" t="s">
        <v>13</v>
      </c>
      <c r="F109" s="28" t="s">
        <v>14</v>
      </c>
      <c r="G109" s="28" t="s">
        <v>15</v>
      </c>
      <c r="H109" s="19" t="s"/>
      <c r="I109" s="19" t="s"/>
      <c r="J109" s="19" t="s"/>
      <c r="K109" s="19" t="s"/>
      <c r="L109" s="19" t="s"/>
      <c r="M109" s="48" t="s">
        <v>79</v>
      </c>
    </row>
    <row r="110" spans="1:13">
      <c r="A110" s="6" t="s"/>
      <c r="B110" s="6" t="s"/>
      <c r="C110" s="32" t="s"/>
      <c r="D110" s="6" t="s"/>
      <c r="E110" s="18" t="s">
        <v>17</v>
      </c>
      <c r="F110" s="19" t="s">
        <v>41</v>
      </c>
      <c r="G110" s="19" t="s">
        <v>92</v>
      </c>
      <c r="H110" s="19" t="s">
        <v>81</v>
      </c>
      <c r="I110" s="19" t="s">
        <v>20</v>
      </c>
      <c r="J110" s="19" t="s"/>
      <c r="K110" s="19" t="s"/>
      <c r="L110" s="19" t="s"/>
      <c r="M110" s="19" t="s">
        <v>32</v>
      </c>
    </row>
    <row r="111" spans="1:13">
      <c r="A111" s="6" t="s"/>
      <c r="B111" s="6" t="s"/>
      <c r="C111" s="32" t="s"/>
      <c r="D111" s="6" t="s"/>
      <c r="E111" s="18" t="s">
        <v>22</v>
      </c>
      <c r="F111" s="19" t="s">
        <v>23</v>
      </c>
      <c r="G111" s="19" t="s">
        <v>54</v>
      </c>
      <c r="H111" s="19" t="s">
        <v>55</v>
      </c>
      <c r="I111" s="19" t="s">
        <v>78</v>
      </c>
      <c r="J111" s="19" t="s">
        <v>36</v>
      </c>
      <c r="K111" s="19" t="s">
        <v>156</v>
      </c>
      <c r="L111" s="19" t="s"/>
      <c r="M111" s="19" t="s">
        <v>62</v>
      </c>
    </row>
    <row r="112" spans="1:13">
      <c r="A112" s="6" t="s"/>
      <c r="B112" s="15" t="s">
        <v>161</v>
      </c>
      <c r="C112" s="22" t="s"/>
      <c r="D112" s="17" t="s">
        <v>12</v>
      </c>
      <c r="E112" s="18" t="s">
        <v>13</v>
      </c>
      <c r="F112" s="19" t="s">
        <v>151</v>
      </c>
      <c r="G112" s="19" t="s">
        <v>138</v>
      </c>
      <c r="H112" s="19" t="s"/>
      <c r="I112" s="19" t="s"/>
      <c r="J112" s="19" t="s"/>
      <c r="K112" s="19" t="s"/>
      <c r="L112" s="19" t="s"/>
      <c r="M112" s="19" t="s"/>
    </row>
    <row r="113" spans="1:13">
      <c r="A113" s="6" t="s"/>
      <c r="B113" s="6" t="s"/>
      <c r="C113" s="32" t="s"/>
      <c r="D113" s="6" t="s"/>
      <c r="E113" s="18" t="s">
        <v>17</v>
      </c>
      <c r="F113" s="19" t="s"/>
      <c r="G113" s="19" t="s"/>
      <c r="H113" s="19" t="s"/>
      <c r="I113" s="19" t="s"/>
      <c r="J113" s="19" t="s"/>
      <c r="K113" s="19" t="s"/>
      <c r="L113" s="19" t="s"/>
      <c r="M113" s="19" t="s"/>
    </row>
    <row r="114" spans="1:13">
      <c r="A114" s="6" t="s"/>
      <c r="B114" s="6" t="s"/>
      <c r="C114" s="32" t="s"/>
      <c r="D114" s="6" t="s"/>
      <c r="E114" s="18" t="s">
        <v>22</v>
      </c>
      <c r="F114" s="19" t="s">
        <v>23</v>
      </c>
      <c r="G114" s="19" t="s">
        <v>45</v>
      </c>
      <c r="H114" s="19" t="s">
        <v>46</v>
      </c>
      <c r="I114" s="19" t="s">
        <v>26</v>
      </c>
      <c r="J114" s="19" t="s">
        <v>36</v>
      </c>
      <c r="K114" s="19" t="s">
        <v>156</v>
      </c>
      <c r="L114" s="19" t="s"/>
      <c r="M114" s="19" t="s">
        <v>21</v>
      </c>
    </row>
    <row r="115" spans="1:13">
      <c r="A115" s="6" t="s"/>
      <c r="B115" s="15" t="s">
        <v>162</v>
      </c>
      <c r="C115" s="38" t="s"/>
      <c r="D115" s="17" t="s">
        <v>12</v>
      </c>
      <c r="E115" s="18" t="s">
        <v>13</v>
      </c>
      <c r="F115" s="28" t="s">
        <v>14</v>
      </c>
      <c r="G115" s="28" t="s">
        <v>51</v>
      </c>
      <c r="H115" s="19" t="s"/>
      <c r="I115" s="19" t="s"/>
      <c r="J115" s="19" t="s"/>
      <c r="K115" s="19" t="s"/>
      <c r="L115" s="19" t="s"/>
      <c r="M115" s="19" t="s"/>
    </row>
    <row r="116" spans="1:13">
      <c r="A116" s="6" t="s"/>
      <c r="B116" s="6" t="s"/>
      <c r="C116" s="32" t="s"/>
      <c r="D116" s="6" t="s"/>
      <c r="E116" s="18" t="s">
        <v>17</v>
      </c>
      <c r="F116" s="28" t="s">
        <v>18</v>
      </c>
      <c r="G116" s="28" t="s">
        <v>42</v>
      </c>
      <c r="H116" s="28" t="s">
        <v>39</v>
      </c>
      <c r="I116" s="28" t="s">
        <v>67</v>
      </c>
      <c r="J116" s="19" t="s"/>
      <c r="K116" s="19" t="s"/>
      <c r="L116" s="19" t="s"/>
      <c r="M116" s="19" t="s"/>
    </row>
    <row r="117" spans="1:13">
      <c r="A117" s="6" t="s"/>
      <c r="B117" s="6" t="s"/>
      <c r="C117" s="32" t="s"/>
      <c r="D117" s="6" t="s"/>
      <c r="E117" s="18" t="s">
        <v>22</v>
      </c>
      <c r="F117" s="28" t="s">
        <v>23</v>
      </c>
      <c r="G117" s="28" t="s">
        <v>45</v>
      </c>
      <c r="H117" s="28" t="s">
        <v>25</v>
      </c>
      <c r="I117" s="28" t="s">
        <v>26</v>
      </c>
      <c r="J117" s="28" t="s">
        <v>36</v>
      </c>
      <c r="K117" s="28" t="s">
        <v>156</v>
      </c>
      <c r="L117" s="19" t="s"/>
      <c r="M117" s="48" t="s">
        <v>104</v>
      </c>
    </row>
    <row r="118" spans="1:13">
      <c r="A118" s="6" t="s"/>
      <c r="B118" s="15" t="s">
        <v>163</v>
      </c>
      <c r="C118" s="43" t="s"/>
      <c r="D118" s="17" t="s">
        <v>12</v>
      </c>
      <c r="E118" s="18" t="s">
        <v>13</v>
      </c>
      <c r="F118" s="19" t="s">
        <v>14</v>
      </c>
      <c r="G118" s="19" t="s">
        <v>51</v>
      </c>
      <c r="H118" s="19" t="s"/>
      <c r="I118" s="19" t="s"/>
      <c r="J118" s="19" t="s"/>
      <c r="K118" s="19" t="s"/>
      <c r="L118" s="19" t="s"/>
      <c r="M118" s="55" t="s">
        <v>40</v>
      </c>
    </row>
    <row r="119" spans="1:13">
      <c r="A119" s="6" t="s"/>
      <c r="B119" s="6" t="s"/>
      <c r="C119" s="32" t="s"/>
      <c r="D119" s="6" t="s"/>
      <c r="E119" s="18" t="s">
        <v>17</v>
      </c>
      <c r="F119" s="28" t="s">
        <v>41</v>
      </c>
      <c r="G119" s="28" t="s">
        <v>92</v>
      </c>
      <c r="H119" s="28" t="s">
        <v>81</v>
      </c>
      <c r="I119" s="28" t="s">
        <v>20</v>
      </c>
      <c r="J119" s="19" t="s"/>
      <c r="K119" s="19" t="s"/>
      <c r="L119" s="19" t="s"/>
      <c r="M119" s="48" t="s">
        <v>104</v>
      </c>
    </row>
    <row r="120" spans="1:13">
      <c r="A120" s="6" t="s"/>
      <c r="B120" s="6" t="s"/>
      <c r="C120" s="32" t="s"/>
      <c r="D120" s="6" t="s"/>
      <c r="E120" s="18" t="s">
        <v>22</v>
      </c>
      <c r="F120" s="19" t="s">
        <v>63</v>
      </c>
      <c r="G120" s="19" t="s">
        <v>106</v>
      </c>
      <c r="H120" s="19" t="s">
        <v>25</v>
      </c>
      <c r="I120" s="19" t="s">
        <v>26</v>
      </c>
      <c r="J120" s="19" t="s">
        <v>64</v>
      </c>
      <c r="K120" s="19" t="s">
        <v>165</v>
      </c>
      <c r="L120" s="19" t="s"/>
      <c r="M120" s="19" t="s">
        <v>21</v>
      </c>
    </row>
    <row r="121" spans="1:13">
      <c r="A121" s="6" t="s"/>
      <c r="B121" s="15" t="s">
        <v>164</v>
      </c>
      <c r="C121" s="22" t="s"/>
      <c r="D121" s="17" t="s">
        <v>12</v>
      </c>
      <c r="E121" s="18" t="s">
        <v>13</v>
      </c>
      <c r="F121" s="19" t="s">
        <v>42</v>
      </c>
      <c r="G121" s="19" t="s">
        <v>51</v>
      </c>
      <c r="H121" s="19" t="s"/>
      <c r="I121" s="19" t="s"/>
      <c r="J121" s="19" t="s"/>
      <c r="K121" s="19" t="s"/>
      <c r="L121" s="19" t="s"/>
      <c r="M121" s="19" t="s">
        <v>21</v>
      </c>
    </row>
    <row r="122" spans="1:13">
      <c r="A122" s="6" t="s"/>
      <c r="B122" s="6" t="s"/>
      <c r="C122" s="32" t="s"/>
      <c r="D122" s="6" t="s"/>
      <c r="E122" s="18" t="s">
        <v>17</v>
      </c>
      <c r="F122" s="28" t="s">
        <v>33</v>
      </c>
      <c r="G122" s="28" t="s">
        <v>34</v>
      </c>
      <c r="H122" s="28" t="s">
        <v>14</v>
      </c>
      <c r="I122" s="28" t="s">
        <v>110</v>
      </c>
      <c r="J122" s="19" t="s"/>
      <c r="K122" s="19" t="s"/>
      <c r="L122" s="19" t="s"/>
      <c r="M122" s="19" t="s"/>
    </row>
    <row r="123" spans="1:13">
      <c r="A123" s="6" t="s"/>
      <c r="B123" s="6" t="s"/>
      <c r="C123" s="32" t="s"/>
      <c r="D123" s="6" t="s"/>
      <c r="E123" s="18" t="s">
        <v>22</v>
      </c>
      <c r="F123" s="19" t="s">
        <v>84</v>
      </c>
      <c r="G123" s="19" t="s">
        <v>85</v>
      </c>
      <c r="H123" s="19" t="s">
        <v>86</v>
      </c>
      <c r="I123" s="19" t="s">
        <v>129</v>
      </c>
      <c r="J123" s="19" t="s">
        <v>27</v>
      </c>
      <c r="K123" s="19" t="s">
        <v>165</v>
      </c>
      <c r="L123" s="19" t="s"/>
      <c r="M123" s="19" t="s">
        <v>152</v>
      </c>
    </row>
    <row r="124" spans="1:13">
      <c r="A124" s="6" t="s"/>
      <c r="B124" s="15" t="s">
        <v>166</v>
      </c>
      <c r="C124" s="27" t="s"/>
      <c r="D124" s="17" t="s">
        <v>12</v>
      </c>
      <c r="E124" s="18" t="s">
        <v>13</v>
      </c>
      <c r="F124" s="28" t="s">
        <v>15</v>
      </c>
      <c r="G124" s="28" t="s">
        <v>34</v>
      </c>
      <c r="H124" s="19" t="s"/>
      <c r="I124" s="19" t="s"/>
      <c r="J124" s="19" t="s"/>
      <c r="K124" s="19" t="s"/>
      <c r="L124" s="19" t="s"/>
      <c r="M124" s="28" t="s">
        <v>79</v>
      </c>
    </row>
    <row r="125" spans="1:13">
      <c r="A125" s="6" t="s"/>
      <c r="B125" s="6" t="s"/>
      <c r="C125" s="32" t="s"/>
      <c r="D125" s="6" t="s"/>
      <c r="E125" s="18" t="s">
        <v>17</v>
      </c>
      <c r="F125" s="48" t="s">
        <v>18</v>
      </c>
      <c r="G125" s="28" t="s">
        <v>42</v>
      </c>
      <c r="H125" s="28" t="s">
        <v>43</v>
      </c>
      <c r="I125" s="28" t="s">
        <v>20</v>
      </c>
      <c r="J125" s="19" t="s"/>
      <c r="K125" s="19" t="s"/>
      <c r="L125" s="19" t="s"/>
      <c r="M125" s="19" t="s"/>
    </row>
    <row r="126" spans="1:13">
      <c r="A126" s="6" t="s"/>
      <c r="B126" s="6" t="s"/>
      <c r="C126" s="32" t="s"/>
      <c r="D126" s="6" t="s"/>
      <c r="E126" s="18" t="s">
        <v>22</v>
      </c>
      <c r="F126" s="28" t="s">
        <v>44</v>
      </c>
      <c r="G126" s="28" t="s">
        <v>106</v>
      </c>
      <c r="H126" s="28" t="s">
        <v>25</v>
      </c>
      <c r="I126" s="28" t="s">
        <v>26</v>
      </c>
      <c r="J126" s="28" t="s">
        <v>64</v>
      </c>
      <c r="K126" s="28" t="s">
        <v>156</v>
      </c>
      <c r="L126" s="19" t="s"/>
      <c r="M126" s="28" t="s">
        <v>50</v>
      </c>
    </row>
    <row r="127" spans="1:13">
      <c r="A127" s="6" t="s"/>
      <c r="B127" s="15" t="s">
        <v>167</v>
      </c>
      <c r="C127" s="16" t="s"/>
      <c r="D127" s="17" t="s">
        <v>12</v>
      </c>
      <c r="E127" s="18" t="s">
        <v>13</v>
      </c>
      <c r="F127" s="19" t="s">
        <v>39</v>
      </c>
      <c r="G127" s="19" t="s">
        <v>42</v>
      </c>
      <c r="H127" s="19" t="s"/>
      <c r="I127" s="19" t="s"/>
      <c r="J127" s="19" t="s"/>
      <c r="K127" s="19" t="s"/>
      <c r="L127" s="19" t="s"/>
      <c r="M127" s="19" t="s">
        <v>21</v>
      </c>
    </row>
    <row r="128" spans="1:15">
      <c r="A128" s="6" t="s"/>
      <c r="B128" s="6" t="s"/>
      <c r="C128" s="32" t="s"/>
      <c r="D128" s="6" t="s"/>
      <c r="E128" s="18" t="s">
        <v>17</v>
      </c>
      <c r="F128" s="41" t="s">
        <v>41</v>
      </c>
      <c r="G128" s="41" t="s">
        <v>14</v>
      </c>
      <c r="H128" s="41" t="s">
        <v>39</v>
      </c>
      <c r="I128" s="41" t="s">
        <v>67</v>
      </c>
      <c r="J128" s="41" t="s"/>
      <c r="K128" s="41" t="s"/>
      <c r="L128" s="41" t="s"/>
      <c r="M128" s="41" t="s">
        <v>168</v>
      </c>
      <c r="O128" t="s">
        <v>169</v>
      </c>
    </row>
    <row r="129" spans="1:13">
      <c r="A129" s="6" t="s"/>
      <c r="B129" s="6" t="s"/>
      <c r="C129" s="32" t="s"/>
      <c r="D129" s="6" t="s"/>
      <c r="E129" s="18" t="s">
        <v>22</v>
      </c>
      <c r="F129" s="19" t="s">
        <v>63</v>
      </c>
      <c r="G129" s="19" t="s">
        <v>45</v>
      </c>
      <c r="H129" s="19" t="s">
        <v>46</v>
      </c>
      <c r="I129" s="19" t="s">
        <v>96</v>
      </c>
      <c r="J129" s="19" t="s">
        <v>64</v>
      </c>
      <c r="K129" s="19" t="s">
        <v>165</v>
      </c>
      <c r="L129" s="19" t="s"/>
      <c r="M129" s="19" t="s">
        <v>21</v>
      </c>
    </row>
    <row r="130" spans="1:13">
      <c r="A130" s="6" t="s"/>
      <c r="B130" s="15" t="s">
        <v>170</v>
      </c>
      <c r="C130" s="27" t="s"/>
      <c r="D130" s="17" t="s">
        <v>12</v>
      </c>
      <c r="E130" s="18" t="s">
        <v>13</v>
      </c>
      <c r="F130" s="19" t="s">
        <v>39</v>
      </c>
      <c r="G130" s="19" t="s">
        <v>34</v>
      </c>
      <c r="H130" s="19" t="s"/>
      <c r="I130" s="19" t="s"/>
      <c r="J130" s="19" t="s"/>
      <c r="K130" s="19" t="s"/>
      <c r="L130" s="19" t="s"/>
      <c r="M130" s="19" t="s">
        <v>40</v>
      </c>
    </row>
    <row r="131" spans="1:13">
      <c r="A131" s="6" t="s"/>
      <c r="B131" s="6" t="s"/>
      <c r="C131" s="32" t="s"/>
      <c r="D131" s="6" t="s"/>
      <c r="E131" s="18" t="s">
        <v>17</v>
      </c>
      <c r="F131" s="19" t="s">
        <v>171</v>
      </c>
      <c r="G131" s="19" t="s">
        <v>138</v>
      </c>
      <c r="H131" s="19" t="s">
        <v>74</v>
      </c>
      <c r="I131" s="19" t="s">
        <v>172</v>
      </c>
      <c r="J131" s="19" t="s"/>
      <c r="K131" s="19" t="s"/>
      <c r="L131" s="19" t="s"/>
      <c r="M131" s="19" t="s">
        <v>77</v>
      </c>
    </row>
    <row r="132" spans="1:13">
      <c r="A132" s="6" t="s"/>
      <c r="B132" s="6" t="s"/>
      <c r="C132" s="32" t="s"/>
      <c r="D132" s="6" t="s"/>
      <c r="E132" s="18" t="s">
        <v>22</v>
      </c>
      <c r="F132" s="19" t="s">
        <v>128</v>
      </c>
      <c r="G132" s="19" t="s">
        <v>54</v>
      </c>
      <c r="H132" s="19" t="s">
        <v>86</v>
      </c>
      <c r="I132" s="19" t="s">
        <v>173</v>
      </c>
      <c r="J132" s="19" t="s">
        <v>87</v>
      </c>
      <c r="K132" s="19" t="s">
        <v>165</v>
      </c>
      <c r="L132" s="19" t="s"/>
      <c r="M132" s="19" t="s">
        <v>79</v>
      </c>
    </row>
    <row r="133" spans="1:13">
      <c r="A133" s="6" t="s"/>
      <c r="B133" s="15" t="s">
        <v>174</v>
      </c>
      <c r="C133" s="22" t="s"/>
      <c r="D133" s="17" t="s">
        <v>12</v>
      </c>
      <c r="E133" s="18" t="s">
        <v>13</v>
      </c>
      <c r="F133" s="28" t="s">
        <v>42</v>
      </c>
      <c r="G133" s="28" t="s">
        <v>51</v>
      </c>
      <c r="H133" s="19" t="s"/>
      <c r="I133" s="19" t="s"/>
      <c r="J133" s="19" t="s"/>
      <c r="K133" s="19" t="s"/>
      <c r="L133" s="19" t="s"/>
      <c r="M133" s="19" t="s"/>
    </row>
    <row r="134" spans="1:13">
      <c r="A134" s="6" t="s"/>
      <c r="B134" s="6" t="s"/>
      <c r="C134" s="32" t="s"/>
      <c r="D134" s="6" t="s"/>
      <c r="E134" s="18" t="s">
        <v>17</v>
      </c>
      <c r="F134" s="19" t="s">
        <v>33</v>
      </c>
      <c r="G134" s="19" t="s">
        <v>34</v>
      </c>
      <c r="H134" s="19" t="s">
        <v>42</v>
      </c>
      <c r="I134" s="19" t="s">
        <v>19</v>
      </c>
      <c r="J134" s="19" t="s"/>
      <c r="K134" s="19" t="s"/>
      <c r="L134" s="19" t="s"/>
      <c r="M134" s="19" t="s">
        <v>40</v>
      </c>
    </row>
    <row r="135" spans="1:13">
      <c r="A135" s="6" t="s"/>
      <c r="B135" s="6" t="s"/>
      <c r="C135" s="32" t="s"/>
      <c r="D135" s="6" t="s"/>
      <c r="E135" s="18" t="s">
        <v>22</v>
      </c>
      <c r="F135" s="19" t="s">
        <v>84</v>
      </c>
      <c r="G135" s="19" t="s">
        <v>24</v>
      </c>
      <c r="H135" s="19" t="s">
        <v>55</v>
      </c>
      <c r="I135" s="19" t="s">
        <v>56</v>
      </c>
      <c r="J135" s="19" t="s">
        <v>27</v>
      </c>
      <c r="K135" s="19" t="s">
        <v>165</v>
      </c>
      <c r="L135" s="19" t="s"/>
      <c r="M135" s="19" t="s">
        <v>175</v>
      </c>
    </row>
    <row r="136" spans="1:13">
      <c r="A136" s="56" t="s">
        <v>176</v>
      </c>
      <c r="B136" s="15" t="s">
        <v>177</v>
      </c>
      <c r="C136" s="16" t="s"/>
      <c r="D136" s="17" t="s">
        <v>12</v>
      </c>
      <c r="E136" s="18" t="s">
        <v>13</v>
      </c>
      <c r="F136" s="19" t="s">
        <v>178</v>
      </c>
      <c r="G136" s="19" t="s">
        <v>135</v>
      </c>
      <c r="H136" s="19" t="s"/>
      <c r="J136" s="19" t="s"/>
      <c r="K136" s="19" t="s"/>
      <c r="L136" s="19" t="s"/>
      <c r="M136" s="19" t="s"/>
    </row>
    <row r="137" spans="1:13">
      <c r="A137" s="6" t="s"/>
      <c r="B137" s="6" t="s"/>
      <c r="C137" s="32" t="s"/>
      <c r="D137" s="6" t="s"/>
      <c r="E137" s="18" t="s">
        <v>17</v>
      </c>
      <c r="F137" s="39" t="s">
        <v>41</v>
      </c>
      <c r="G137" s="19" t="s">
        <v>92</v>
      </c>
      <c r="H137" s="19" t="s">
        <v>74</v>
      </c>
      <c r="I137" s="19" t="s">
        <v>20</v>
      </c>
      <c r="J137" s="19" t="s"/>
      <c r="K137" s="19" t="s"/>
      <c r="L137" s="19" t="s"/>
      <c r="M137" s="19" t="s">
        <v>62</v>
      </c>
    </row>
    <row r="138" spans="1:13">
      <c r="A138" s="6" t="s"/>
      <c r="B138" s="6" t="s"/>
      <c r="C138" s="32" t="s"/>
      <c r="D138" s="6" t="s"/>
      <c r="E138" s="18" t="s">
        <v>22</v>
      </c>
      <c r="F138" s="19" t="s">
        <v>63</v>
      </c>
      <c r="G138" s="19" t="s">
        <v>45</v>
      </c>
      <c r="H138" s="19" t="s">
        <v>25</v>
      </c>
      <c r="I138" s="19" t="s">
        <v>26</v>
      </c>
      <c r="J138" s="19" t="s">
        <v>36</v>
      </c>
      <c r="K138" s="19" t="s">
        <v>180</v>
      </c>
      <c r="L138" s="19" t="s"/>
      <c r="M138" s="19" t="s">
        <v>21</v>
      </c>
    </row>
    <row r="139" spans="1:13">
      <c r="A139" s="6" t="s"/>
      <c r="B139" s="15" t="s">
        <v>179</v>
      </c>
      <c r="C139" s="22" t="s"/>
      <c r="D139" s="17" t="s">
        <v>12</v>
      </c>
      <c r="E139" s="18" t="s">
        <v>13</v>
      </c>
      <c r="F139" s="28" t="s">
        <v>14</v>
      </c>
      <c r="G139" s="28" t="s">
        <v>51</v>
      </c>
      <c r="H139" s="19" t="s"/>
      <c r="I139" s="19" t="s"/>
      <c r="J139" s="19" t="s"/>
      <c r="K139" s="19" t="s"/>
      <c r="L139" s="19" t="s"/>
      <c r="M139" s="19" t="s"/>
    </row>
    <row r="140" spans="1:13">
      <c r="A140" s="6" t="s"/>
      <c r="B140" s="6" t="s"/>
      <c r="C140" s="32" t="s"/>
      <c r="D140" s="6" t="s"/>
      <c r="E140" s="18" t="s">
        <v>17</v>
      </c>
      <c r="F140" s="19" t="s"/>
      <c r="G140" s="19" t="s"/>
      <c r="H140" s="19" t="s"/>
      <c r="I140" s="19" t="s"/>
      <c r="J140" s="19" t="s"/>
      <c r="K140" s="19" t="s"/>
      <c r="L140" s="19" t="s"/>
      <c r="M140" s="19" t="s"/>
    </row>
    <row r="141" spans="1:13">
      <c r="A141" s="6" t="s"/>
      <c r="B141" s="6" t="s"/>
      <c r="C141" s="32" t="s"/>
      <c r="D141" s="6" t="s"/>
      <c r="E141" s="18" t="s">
        <v>22</v>
      </c>
      <c r="F141" s="19" t="s">
        <v>23</v>
      </c>
      <c r="G141" s="19" t="s">
        <v>120</v>
      </c>
      <c r="H141" s="19" t="s">
        <v>68</v>
      </c>
      <c r="I141" s="19" t="s">
        <v>25</v>
      </c>
      <c r="J141" s="19" t="s">
        <v>36</v>
      </c>
      <c r="K141" s="19" t="s">
        <v>180</v>
      </c>
      <c r="L141" s="19" t="s"/>
      <c r="M141" s="19" t="s">
        <v>48</v>
      </c>
    </row>
    <row r="142" spans="1:13">
      <c r="A142" s="57" t="s">
        <v>181</v>
      </c>
      <c r="B142" s="15" t="s">
        <v>182</v>
      </c>
      <c r="C142" s="16" t="s"/>
      <c r="D142" s="17" t="s">
        <v>12</v>
      </c>
      <c r="E142" s="18" t="s">
        <v>13</v>
      </c>
      <c r="F142" s="19" t="s">
        <v>39</v>
      </c>
      <c r="G142" s="19" t="s">
        <v>34</v>
      </c>
      <c r="H142" s="19" t="s"/>
      <c r="I142" s="19" t="s"/>
      <c r="J142" s="19" t="s"/>
      <c r="K142" s="19" t="s"/>
      <c r="L142" s="19" t="s"/>
      <c r="M142" s="19" t="s">
        <v>62</v>
      </c>
    </row>
    <row r="143" spans="1:13">
      <c r="A143" s="6" t="s"/>
      <c r="B143" s="6" t="s"/>
      <c r="C143" s="32" t="s"/>
      <c r="D143" s="6" t="s"/>
      <c r="E143" s="18" t="s">
        <v>17</v>
      </c>
      <c r="F143" s="28" t="s">
        <v>33</v>
      </c>
      <c r="G143" s="28" t="s">
        <v>34</v>
      </c>
      <c r="H143" s="28" t="s">
        <v>42</v>
      </c>
      <c r="I143" s="28" t="s">
        <v>19</v>
      </c>
      <c r="J143" s="19" t="s"/>
      <c r="K143" s="19" t="s"/>
      <c r="L143" s="19" t="s"/>
      <c r="M143" s="48" t="s">
        <v>104</v>
      </c>
    </row>
    <row r="144" spans="1:13">
      <c r="A144" s="6" t="s"/>
      <c r="B144" s="6" t="s"/>
      <c r="C144" s="32" t="s"/>
      <c r="D144" s="6" t="s"/>
      <c r="E144" s="18" t="s">
        <v>22</v>
      </c>
      <c r="F144" s="41" t="s">
        <v>63</v>
      </c>
      <c r="G144" s="41" t="s">
        <v>106</v>
      </c>
      <c r="H144" s="41" t="s">
        <v>46</v>
      </c>
      <c r="I144" s="41" t="s">
        <v>78</v>
      </c>
      <c r="J144" s="41" t="s">
        <v>36</v>
      </c>
      <c r="K144" s="41" t="s">
        <v>183</v>
      </c>
      <c r="L144" s="41" t="s"/>
      <c r="M144" s="41" t="s">
        <v>48</v>
      </c>
    </row>
  </sheetData>
  <mergeCells count="144">
    <mergeCell ref="B37:B39"/>
    <mergeCell ref="D34:D36"/>
    <mergeCell ref="D37:D39"/>
    <mergeCell ref="B34:B36"/>
    <mergeCell ref="F1:K1"/>
    <mergeCell ref="D22:D24"/>
    <mergeCell ref="B19:B24"/>
    <mergeCell ref="D19:D21"/>
    <mergeCell ref="D25:D27"/>
    <mergeCell ref="B25:B27"/>
    <mergeCell ref="B49:B51"/>
    <mergeCell ref="D49:D51"/>
    <mergeCell ref="A19:A51"/>
    <mergeCell ref="B40:B42"/>
    <mergeCell ref="D40:D42"/>
    <mergeCell ref="B43:B45"/>
    <mergeCell ref="D43:D45"/>
    <mergeCell ref="B46:B48"/>
    <mergeCell ref="D46:D48"/>
    <mergeCell ref="B28:B33"/>
    <mergeCell ref="D28:D30"/>
    <mergeCell ref="D31:D33"/>
    <mergeCell ref="D52:D54"/>
    <mergeCell ref="D55:D57"/>
    <mergeCell ref="B52:B57"/>
    <mergeCell ref="B64:B66"/>
    <mergeCell ref="B61:B63"/>
    <mergeCell ref="D61:D63"/>
    <mergeCell ref="B58:B60"/>
    <mergeCell ref="B67:B69"/>
    <mergeCell ref="D67:D69"/>
    <mergeCell ref="D58:D60"/>
    <mergeCell ref="B88:B90"/>
    <mergeCell ref="A52:A90"/>
    <mergeCell ref="D70:D72"/>
    <mergeCell ref="D73:D75"/>
    <mergeCell ref="D76:D78"/>
    <mergeCell ref="D79:D81"/>
    <mergeCell ref="D82:D84"/>
    <mergeCell ref="D85:D87"/>
    <mergeCell ref="D88:D90"/>
    <mergeCell ref="B70:B72"/>
    <mergeCell ref="B73:B75"/>
    <mergeCell ref="B76:B78"/>
    <mergeCell ref="B79:B81"/>
    <mergeCell ref="B82:B84"/>
    <mergeCell ref="B85:B87"/>
    <mergeCell ref="D64:D66"/>
    <mergeCell ref="B103:B108"/>
    <mergeCell ref="B109:B111"/>
    <mergeCell ref="B112:B114"/>
    <mergeCell ref="D127:D129"/>
    <mergeCell ref="D130:D132"/>
    <mergeCell ref="B115:B117"/>
    <mergeCell ref="B118:B120"/>
    <mergeCell ref="B121:B123"/>
    <mergeCell ref="B124:B126"/>
    <mergeCell ref="B127:B129"/>
    <mergeCell ref="B130:B132"/>
    <mergeCell ref="A142:A144"/>
    <mergeCell ref="D133:D135"/>
    <mergeCell ref="A103:A135"/>
    <mergeCell ref="B136:B138"/>
    <mergeCell ref="B139:B141"/>
    <mergeCell ref="D136:D138"/>
    <mergeCell ref="D139:D141"/>
    <mergeCell ref="A136:A141"/>
    <mergeCell ref="B133:B135"/>
    <mergeCell ref="D109:D111"/>
    <mergeCell ref="D112:D114"/>
    <mergeCell ref="D115:D117"/>
    <mergeCell ref="D118:D120"/>
    <mergeCell ref="D121:D123"/>
    <mergeCell ref="D124:D126"/>
    <mergeCell ref="B142:B144"/>
    <mergeCell ref="D142:D144"/>
    <mergeCell ref="A91:A102"/>
    <mergeCell ref="B91:B93"/>
    <mergeCell ref="D91:D93"/>
    <mergeCell ref="B94:B96"/>
    <mergeCell ref="D94:D96"/>
    <mergeCell ref="B97:B99"/>
    <mergeCell ref="D97:D99"/>
    <mergeCell ref="B100:B102"/>
    <mergeCell ref="D100:D102"/>
    <mergeCell ref="A4:A18"/>
    <mergeCell ref="B4:B9"/>
    <mergeCell ref="D4:D6"/>
    <mergeCell ref="D7:D9"/>
    <mergeCell ref="B10:B12"/>
    <mergeCell ref="D10:D12"/>
    <mergeCell ref="B13:B15"/>
    <mergeCell ref="D13:D15"/>
    <mergeCell ref="B16:B18"/>
    <mergeCell ref="D16:D18"/>
    <mergeCell ref="C4:C6"/>
    <mergeCell ref="C7:C9"/>
    <mergeCell ref="C10:C12"/>
    <mergeCell ref="C13:C15"/>
    <mergeCell ref="C16:C18"/>
    <mergeCell ref="C19:C21"/>
    <mergeCell ref="C22:C24"/>
    <mergeCell ref="C25:C27"/>
    <mergeCell ref="C28:C30"/>
    <mergeCell ref="C31:C33"/>
    <mergeCell ref="C34:C36"/>
    <mergeCell ref="C37:C39"/>
    <mergeCell ref="C40:C42"/>
    <mergeCell ref="C43:C45"/>
    <mergeCell ref="C46:C48"/>
    <mergeCell ref="C49:C51"/>
    <mergeCell ref="C58:C60"/>
    <mergeCell ref="C61:C63"/>
    <mergeCell ref="C64:C66"/>
    <mergeCell ref="C67:C69"/>
    <mergeCell ref="C70:C72"/>
    <mergeCell ref="C73:C75"/>
    <mergeCell ref="C76:C78"/>
    <mergeCell ref="C79:C81"/>
    <mergeCell ref="C82:C84"/>
    <mergeCell ref="C85:C87"/>
    <mergeCell ref="C88:C90"/>
    <mergeCell ref="C91:C93"/>
    <mergeCell ref="C94:C96"/>
    <mergeCell ref="C97:C99"/>
    <mergeCell ref="C100:C102"/>
    <mergeCell ref="C109:C111"/>
    <mergeCell ref="C112:C114"/>
    <mergeCell ref="C115:C117"/>
    <mergeCell ref="C118:C120"/>
    <mergeCell ref="C121:C123"/>
    <mergeCell ref="C124:C126"/>
    <mergeCell ref="C127:C129"/>
    <mergeCell ref="C130:C132"/>
    <mergeCell ref="C133:C135"/>
    <mergeCell ref="C136:C138"/>
    <mergeCell ref="C139:C141"/>
    <mergeCell ref="C142:C144"/>
    <mergeCell ref="D106:D108"/>
    <mergeCell ref="D103:D105"/>
    <mergeCell ref="C103:C105"/>
    <mergeCell ref="C106:C108"/>
    <mergeCell ref="C52:C54"/>
    <mergeCell ref="C55:C57"/>
  </mergeCells>
  <hyperlinks>
    <hyperlink ref="M2" r:id="rId0"/>
  </hyperlinks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sheetPr/>
  <dimension ref="K142"/>
  <sheetViews>
    <sheetView showGridLines="1" tabSelected="0" zoomScaleNormal="100" workbookViewId="0">
      <pane xSplit="2" ySplit="3" topLeftCell="C4" state="frozen"/>
    </sheetView>
  </sheetViews>
  <sheetFormatPr baseColWidth="8" defaultRowHeight="14"/>
  <cols>
    <col min="1" max="1" width="11.8906" customWidth="1"/>
    <col min="2" max="3" width="11.8906" bestFit="1" customWidth="1"/>
    <col min="4" max="4" width="4.70312" style="20" customWidth="1"/>
    <col min="5" max="5" width="22.9414" bestFit="1" customWidth="1"/>
    <col min="6" max="6" width="5.26953" customWidth="1"/>
    <col min="7" max="7" width="9.69141" bestFit="1" customWidth="1"/>
    <col min="11" max="11" width="18.332" customWidth="1"/>
  </cols>
  <sheetData>
    <row r="1" spans="1:8" s="323" customFormat="1" ht="22.5" customHeight="1">
      <c r="A1" s="58" t="s">
        <v>184</v>
      </c>
      <c r="B1" s="58" t="s">
        <v>185</v>
      </c>
      <c r="C1" s="58" t="s">
        <v>186</v>
      </c>
      <c r="D1" s="58" t="s">
        <v>187</v>
      </c>
      <c r="E1" s="58" t="s">
        <v>188</v>
      </c>
      <c r="F1" s="58" t="s"/>
      <c r="G1" s="58" t="s">
        <v>6</v>
      </c>
      <c r="H1" s="59" t="s">
        <v>189</v>
      </c>
    </row>
    <row r="2" spans="1:27" s="324" customFormat="1">
      <c r="A2" s="60" t="s">
        <v>7</v>
      </c>
      <c r="B2" s="61" t="s"/>
      <c r="C2" s="61" t="s"/>
      <c r="D2" s="61" t="s"/>
      <c r="E2" s="61" t="s"/>
      <c r="F2" s="61" t="s"/>
      <c r="G2" s="61" t="s"/>
      <c r="H2" s="61" t="s"/>
      <c r="I2" s="62" t="s">
        <v>559</v>
      </c>
      <c r="J2" s="63" t="s"/>
      <c r="K2" s="63" t="s"/>
      <c r="L2" s="63" t="s"/>
      <c r="N2" s="64" t="s"/>
      <c r="O2" s="64" t="s"/>
      <c r="P2" s="64" t="s"/>
      <c r="Q2" s="64" t="s"/>
      <c r="R2" s="64" t="s"/>
      <c r="S2" s="64" t="s"/>
      <c r="T2" s="64" t="s"/>
      <c r="U2" s="63" t="s"/>
      <c r="V2" s="63" t="s"/>
      <c r="W2" s="63" t="s"/>
      <c r="X2" s="63" t="s"/>
      <c r="Y2" s="63" t="s"/>
      <c r="Z2" s="63" t="s"/>
      <c r="AA2" s="63" t="s"/>
    </row>
    <row r="3" spans="1:27" s="324" customFormat="1">
      <c r="A3" s="60" t="s">
        <v>8</v>
      </c>
      <c r="B3" s="61" t="s"/>
      <c r="C3" s="61" t="s"/>
      <c r="D3" s="61" t="s"/>
      <c r="E3" s="61" t="s"/>
      <c r="F3" s="61" t="s"/>
      <c r="G3" s="61" t="s"/>
      <c r="H3" s="61" t="s"/>
      <c r="I3" s="65" t="s">
        <v>9</v>
      </c>
      <c r="J3" s="63" t="s"/>
      <c r="K3" s="63" t="s"/>
      <c r="L3" s="63" t="s"/>
      <c r="N3" s="64" t="s"/>
      <c r="O3" s="64" t="s"/>
      <c r="P3" s="64" t="s"/>
      <c r="Q3" s="64" t="s"/>
      <c r="R3" s="64" t="s"/>
      <c r="S3" s="64" t="s"/>
      <c r="T3" s="64" t="s"/>
      <c r="U3" s="63" t="s"/>
      <c r="V3" s="63" t="s"/>
      <c r="W3" s="63" t="s"/>
      <c r="X3" s="63" t="s"/>
      <c r="Y3" s="63" t="s"/>
      <c r="Z3" s="63" t="s"/>
      <c r="AA3" s="63" t="s"/>
    </row>
    <row r="4" spans="1:8">
      <c r="A4" s="66" t="s">
        <v>190</v>
      </c>
      <c r="B4" s="66" t="s">
        <v>191</v>
      </c>
      <c r="C4" s="67" t="s">
        <v>192</v>
      </c>
      <c r="D4" s="66">
        <v>4</v>
      </c>
      <c r="E4" s="68" t="s">
        <v>560</v>
      </c>
      <c r="F4" s="69" t="s"/>
      <c r="G4" s="67" t="s"/>
      <c r="H4" s="70" t="s"/>
    </row>
    <row r="5" spans="3:8">
      <c r="C5" s="67" t="s">
        <v>193</v>
      </c>
      <c r="D5" s="66">
        <v>4</v>
      </c>
      <c r="E5" s="68" t="s">
        <v>561</v>
      </c>
      <c r="F5" s="69" t="s"/>
      <c r="G5" s="67" t="s"/>
      <c r="H5" s="70" t="s"/>
    </row>
    <row r="6" spans="3:8">
      <c r="C6" s="67" t="s">
        <v>194</v>
      </c>
      <c r="D6" s="66">
        <v>1</v>
      </c>
      <c r="E6" s="68" t="s">
        <v>562</v>
      </c>
      <c r="F6" s="69" t="s"/>
      <c r="G6" s="67" t="s"/>
      <c r="H6" s="70" t="s"/>
    </row>
    <row r="7" spans="3:8">
      <c r="C7" s="67" t="s">
        <v>195</v>
      </c>
      <c r="D7" s="66">
        <v>150</v>
      </c>
      <c r="E7" s="68" t="s"/>
      <c r="F7" s="67" t="s"/>
      <c r="G7" s="67" t="s"/>
      <c r="H7" s="70" t="s"/>
    </row>
    <row r="8" spans="1:8">
      <c r="A8" s="66" t="s">
        <v>196</v>
      </c>
      <c r="B8" s="66" t="s">
        <v>197</v>
      </c>
      <c r="C8" s="67" t="s">
        <v>198</v>
      </c>
      <c r="D8" s="66">
        <v>1</v>
      </c>
      <c r="E8" s="68" t="s">
        <v>563</v>
      </c>
      <c r="F8" s="67" t="s"/>
      <c r="G8" s="67" t="s"/>
      <c r="H8" s="70" t="s"/>
    </row>
    <row r="9" spans="3:8">
      <c r="C9" s="67" t="s">
        <v>199</v>
      </c>
      <c r="D9" s="66">
        <v>1</v>
      </c>
      <c r="E9" s="68" t="s">
        <v>564</v>
      </c>
      <c r="F9" s="67" t="s"/>
      <c r="G9" s="67" t="s"/>
      <c r="H9" s="70" t="s"/>
    </row>
    <row r="10" spans="3:8">
      <c r="C10" s="67" t="s">
        <v>192</v>
      </c>
      <c r="D10" s="66">
        <v>1</v>
      </c>
      <c r="E10" s="68" t="s">
        <v>565</v>
      </c>
      <c r="F10" s="67" t="s"/>
      <c r="G10" s="67" t="s"/>
      <c r="H10" s="70" t="s"/>
    </row>
    <row r="11" spans="3:8">
      <c r="C11" s="67" t="s">
        <v>200</v>
      </c>
      <c r="D11" s="66">
        <v>1</v>
      </c>
      <c r="E11" s="68" t="s">
        <v>566</v>
      </c>
      <c r="F11" s="67" t="s"/>
      <c r="G11" s="67" t="s"/>
      <c r="H11" s="70" t="s"/>
    </row>
    <row r="12" spans="3:8">
      <c r="C12" s="67" t="s">
        <v>195</v>
      </c>
      <c r="D12" s="66">
        <v>150</v>
      </c>
      <c r="E12" s="68" t="s"/>
      <c r="F12" s="67" t="s"/>
      <c r="G12" s="67" t="s"/>
      <c r="H12" s="70" t="s"/>
    </row>
    <row r="13" spans="1:8">
      <c r="A13" s="66" t="s">
        <v>201</v>
      </c>
      <c r="B13" s="66" t="s">
        <v>202</v>
      </c>
      <c r="C13" s="67" t="s">
        <v>203</v>
      </c>
      <c r="D13" s="66">
        <v>4</v>
      </c>
      <c r="E13" s="68" t="s">
        <v>567</v>
      </c>
      <c r="F13" s="67" t="s"/>
      <c r="G13" s="67" t="s"/>
      <c r="H13" s="70" t="s"/>
    </row>
    <row r="14" spans="3:8">
      <c r="C14" s="67" t="s">
        <v>204</v>
      </c>
      <c r="D14" s="66">
        <v>1</v>
      </c>
      <c r="E14" s="68" t="s">
        <v>568</v>
      </c>
      <c r="F14" s="67" t="s"/>
      <c r="G14" s="67" t="s"/>
      <c r="H14" s="70" t="s"/>
    </row>
    <row r="15" spans="3:11" ht="27.5" customHeight="1">
      <c r="C15" s="67" t="s">
        <v>205</v>
      </c>
      <c r="D15" s="66">
        <v>1</v>
      </c>
      <c r="E15" s="68" t="s">
        <v>569</v>
      </c>
      <c r="F15" s="67" t="s"/>
      <c r="G15" s="67" t="s"/>
      <c r="H15" s="70" t="s"/>
      <c r="K15" s="71" t="s"/>
    </row>
    <row r="16" spans="3:8">
      <c r="C16" s="67" t="s">
        <v>206</v>
      </c>
      <c r="D16" s="66">
        <v>1</v>
      </c>
      <c r="E16" s="68" t="s">
        <v>570</v>
      </c>
      <c r="F16" s="67" t="s"/>
      <c r="G16" s="67" t="s"/>
      <c r="H16" s="70" t="s"/>
    </row>
    <row r="17" spans="3:8">
      <c r="C17" s="67" t="s">
        <v>195</v>
      </c>
      <c r="D17" s="66">
        <v>50</v>
      </c>
      <c r="E17" s="68" t="s"/>
      <c r="F17" s="67" t="s"/>
      <c r="G17" s="67" t="s"/>
      <c r="H17" s="70" t="s"/>
    </row>
    <row r="18" spans="1:8">
      <c r="A18" s="66" t="s">
        <v>207</v>
      </c>
      <c r="B18" s="66" t="s">
        <v>208</v>
      </c>
      <c r="C18" s="67" t="s">
        <v>209</v>
      </c>
      <c r="D18" s="66">
        <v>5</v>
      </c>
      <c r="E18" s="68" t="s">
        <v>571</v>
      </c>
      <c r="F18" s="67" t="s"/>
      <c r="G18" s="67" t="s"/>
      <c r="H18" s="70" t="s"/>
    </row>
    <row r="19" spans="3:8">
      <c r="C19" s="67" t="s">
        <v>193</v>
      </c>
      <c r="D19" s="66">
        <v>3</v>
      </c>
      <c r="E19" s="68" t="s">
        <v>572</v>
      </c>
      <c r="F19" s="67" t="s"/>
      <c r="G19" s="67" t="s"/>
      <c r="H19" s="70" t="s"/>
    </row>
    <row r="20" spans="3:8">
      <c r="C20" s="67" t="s">
        <v>210</v>
      </c>
      <c r="D20" s="66">
        <v>1</v>
      </c>
      <c r="E20" s="68" t="s">
        <v>573</v>
      </c>
      <c r="F20" s="67" t="s"/>
      <c r="G20" s="67" t="s"/>
      <c r="H20" s="70" t="s"/>
    </row>
    <row r="21" spans="3:8">
      <c r="C21" s="67" t="s">
        <v>198</v>
      </c>
      <c r="D21" s="66">
        <v>1</v>
      </c>
      <c r="E21" s="68" t="s">
        <v>574</v>
      </c>
      <c r="F21" s="67" t="s"/>
      <c r="G21" s="67" t="s"/>
      <c r="H21" s="70" t="s"/>
    </row>
    <row r="22" spans="3:8">
      <c r="C22" s="67" t="s">
        <v>195</v>
      </c>
      <c r="D22" s="66">
        <v>50</v>
      </c>
      <c r="E22" s="68" t="s"/>
      <c r="F22" s="67" t="s"/>
      <c r="G22" s="67" t="s"/>
      <c r="H22" s="70" t="s"/>
    </row>
    <row r="23" spans="1:8">
      <c r="A23" s="66" t="s">
        <v>211</v>
      </c>
      <c r="B23" s="66" t="s">
        <v>212</v>
      </c>
      <c r="C23" s="67" t="s">
        <v>213</v>
      </c>
      <c r="D23" s="66">
        <v>6</v>
      </c>
      <c r="E23" s="68" t="s">
        <v>575</v>
      </c>
      <c r="F23" s="67" t="s"/>
      <c r="G23" s="67" t="s"/>
      <c r="H23" s="70" t="s"/>
    </row>
    <row r="24" spans="3:8">
      <c r="C24" s="67" t="s">
        <v>214</v>
      </c>
      <c r="D24" s="66">
        <v>6</v>
      </c>
      <c r="E24" s="68" t="s">
        <v>576</v>
      </c>
      <c r="F24" s="67" t="s"/>
      <c r="G24" s="67" t="s"/>
      <c r="H24" s="70" t="s"/>
    </row>
    <row r="25" spans="3:8">
      <c r="C25" s="67" t="s">
        <v>215</v>
      </c>
      <c r="D25" s="66">
        <v>6</v>
      </c>
      <c r="E25" s="68" t="s">
        <v>577</v>
      </c>
      <c r="F25" s="67" t="s"/>
      <c r="G25" s="67" t="s"/>
      <c r="H25" s="70" t="s"/>
    </row>
    <row r="26" spans="3:8">
      <c r="C26" s="67" t="s">
        <v>195</v>
      </c>
      <c r="D26" s="66">
        <v>150</v>
      </c>
      <c r="E26" s="68" t="s"/>
      <c r="F26" s="67" t="s"/>
      <c r="G26" s="67" t="s"/>
      <c r="H26" s="70" t="s"/>
    </row>
    <row r="27" spans="1:8" ht="14" customHeight="1">
      <c r="A27" s="66" t="s">
        <v>216</v>
      </c>
      <c r="B27" s="66" t="s">
        <v>216</v>
      </c>
      <c r="C27" s="67" t="s">
        <v>213</v>
      </c>
      <c r="D27" s="66">
        <v>5</v>
      </c>
      <c r="E27" s="68" t="s">
        <v>578</v>
      </c>
      <c r="F27" s="67" t="s"/>
      <c r="G27" s="67" t="s"/>
      <c r="H27" s="70" t="s"/>
    </row>
    <row r="28" spans="3:8">
      <c r="C28" s="67" t="s">
        <v>217</v>
      </c>
      <c r="D28" s="66">
        <v>5</v>
      </c>
      <c r="E28" s="68" t="s">
        <v>579</v>
      </c>
      <c r="F28" s="67" t="s"/>
      <c r="G28" s="67" t="s"/>
      <c r="H28" s="70" t="s"/>
    </row>
    <row r="29" spans="3:8">
      <c r="C29" s="67" t="s">
        <v>214</v>
      </c>
      <c r="D29" s="66">
        <v>2</v>
      </c>
      <c r="E29" s="68" t="s">
        <v>580</v>
      </c>
      <c r="F29" s="67" t="s"/>
      <c r="G29" s="67" t="s"/>
      <c r="H29" s="70" t="s"/>
    </row>
    <row r="30" spans="3:8">
      <c r="C30" s="67" t="s">
        <v>218</v>
      </c>
      <c r="D30" s="66">
        <v>2</v>
      </c>
      <c r="E30" s="68" t="s">
        <v>581</v>
      </c>
      <c r="F30" s="67" t="s"/>
      <c r="G30" s="67" t="s"/>
      <c r="H30" s="70" t="s"/>
    </row>
    <row r="31" spans="3:8">
      <c r="C31" s="67" t="s">
        <v>195</v>
      </c>
      <c r="D31" s="66">
        <v>150</v>
      </c>
      <c r="E31" s="68" t="s"/>
      <c r="F31" s="67" t="s"/>
      <c r="G31" s="67" t="s"/>
      <c r="H31" s="70" t="s"/>
    </row>
    <row r="32" spans="1:8">
      <c r="A32" s="66" t="s">
        <v>219</v>
      </c>
      <c r="B32" s="66" t="s">
        <v>220</v>
      </c>
      <c r="C32" s="67" t="s">
        <v>221</v>
      </c>
      <c r="D32" s="66">
        <v>1</v>
      </c>
      <c r="E32" s="68" t="s">
        <v>582</v>
      </c>
      <c r="F32" s="67" t="s"/>
      <c r="G32" s="67" t="s"/>
      <c r="H32" s="70" t="s"/>
    </row>
    <row r="33" spans="3:8">
      <c r="C33" s="67" t="s">
        <v>222</v>
      </c>
      <c r="D33" s="66">
        <v>1</v>
      </c>
      <c r="E33" s="68" t="s">
        <v>583</v>
      </c>
      <c r="F33" s="67" t="s"/>
      <c r="G33" s="67" t="s"/>
      <c r="H33" s="70" t="s"/>
    </row>
    <row r="34" spans="3:8">
      <c r="C34" s="67" t="s">
        <v>206</v>
      </c>
      <c r="D34" s="66">
        <v>1</v>
      </c>
      <c r="E34" s="68" t="s">
        <v>584</v>
      </c>
      <c r="F34" s="67" t="s"/>
      <c r="G34" s="67" t="s"/>
      <c r="H34" s="70" t="s"/>
    </row>
    <row r="35" spans="3:8">
      <c r="C35" s="67" t="s">
        <v>217</v>
      </c>
      <c r="D35" s="66">
        <v>1</v>
      </c>
      <c r="E35" s="68" t="s">
        <v>585</v>
      </c>
      <c r="F35" s="67" t="s"/>
      <c r="G35" s="67" t="s"/>
      <c r="H35" s="70" t="s"/>
    </row>
    <row r="36" spans="3:8">
      <c r="C36" s="67" t="s">
        <v>195</v>
      </c>
      <c r="D36" s="66">
        <v>50</v>
      </c>
      <c r="E36" s="68" t="s"/>
      <c r="F36" s="67" t="s"/>
      <c r="G36" s="67" t="s"/>
      <c r="H36" s="70" t="s"/>
    </row>
    <row r="37" spans="1:8" ht="18" customHeight="1">
      <c r="A37" s="66" t="s">
        <v>223</v>
      </c>
      <c r="B37" s="66" t="s">
        <v>224</v>
      </c>
      <c r="C37" s="67" t="s">
        <v>209</v>
      </c>
      <c r="D37" s="66">
        <v>5</v>
      </c>
      <c r="E37" s="68" t="s">
        <v>586</v>
      </c>
      <c r="F37" s="67" t="s"/>
      <c r="G37" s="67" t="s"/>
      <c r="H37" s="70" t="s"/>
    </row>
    <row r="38" spans="3:8" ht="18" customHeight="1">
      <c r="C38" s="67" t="s">
        <v>198</v>
      </c>
      <c r="D38" s="66">
        <v>5</v>
      </c>
      <c r="E38" s="68" t="s">
        <v>587</v>
      </c>
      <c r="F38" s="67" t="s"/>
      <c r="G38" s="67" t="s"/>
      <c r="H38" s="70" t="s"/>
    </row>
    <row r="39" spans="3:8" ht="18" customHeight="1">
      <c r="C39" s="67" t="s">
        <v>193</v>
      </c>
      <c r="D39" s="66">
        <v>2</v>
      </c>
      <c r="E39" s="68" t="s">
        <v>588</v>
      </c>
      <c r="F39" s="67" t="s"/>
      <c r="G39" s="67" t="s"/>
      <c r="H39" s="70" t="s"/>
    </row>
    <row r="40" spans="3:8" ht="18" customHeight="1">
      <c r="C40" s="67" t="s">
        <v>195</v>
      </c>
      <c r="D40" s="66">
        <v>150</v>
      </c>
      <c r="E40" s="68" t="s"/>
      <c r="F40" s="67" t="s"/>
      <c r="G40" s="67" t="s"/>
      <c r="H40" s="70" t="s"/>
    </row>
    <row r="41" spans="1:8">
      <c r="A41" s="66" t="s">
        <v>225</v>
      </c>
      <c r="B41" s="66" t="s">
        <v>226</v>
      </c>
      <c r="C41" s="67" t="s">
        <v>213</v>
      </c>
      <c r="D41" s="66">
        <v>6</v>
      </c>
      <c r="E41" s="68" t="s">
        <v>589</v>
      </c>
      <c r="F41" s="67" t="s"/>
      <c r="G41" s="67" t="s"/>
      <c r="H41" s="70" t="s"/>
    </row>
    <row r="42" spans="3:8">
      <c r="C42" s="67" t="s">
        <v>214</v>
      </c>
      <c r="D42" s="66">
        <v>6</v>
      </c>
      <c r="E42" s="68" t="s">
        <v>590</v>
      </c>
      <c r="F42" s="67" t="s"/>
      <c r="G42" s="67" t="s"/>
      <c r="H42" s="70" t="s"/>
    </row>
    <row r="43" spans="3:8">
      <c r="C43" s="67" t="s">
        <v>227</v>
      </c>
      <c r="D43" s="66">
        <v>4</v>
      </c>
      <c r="E43" s="68" t="s">
        <v>591</v>
      </c>
      <c r="F43" s="67" t="s"/>
      <c r="G43" s="67" t="s"/>
      <c r="H43" s="70" t="s"/>
    </row>
    <row r="44" spans="3:8">
      <c r="C44" s="67" t="s">
        <v>195</v>
      </c>
      <c r="D44" s="66">
        <v>150</v>
      </c>
      <c r="E44" s="68" t="s"/>
      <c r="F44" s="67" t="s"/>
      <c r="G44" s="67" t="s"/>
      <c r="H44" s="70" t="s"/>
    </row>
    <row r="45" spans="1:8">
      <c r="A45" s="66" t="s">
        <v>228</v>
      </c>
      <c r="B45" s="66" t="s">
        <v>192</v>
      </c>
      <c r="C45" s="67" t="s">
        <v>229</v>
      </c>
      <c r="D45" s="66">
        <v>1</v>
      </c>
      <c r="E45" s="68" t="s">
        <v>592</v>
      </c>
      <c r="F45" s="67" t="s"/>
      <c r="G45" s="67" t="s"/>
      <c r="H45" s="70" t="s"/>
    </row>
    <row r="46" spans="3:8">
      <c r="C46" s="67" t="s">
        <v>194</v>
      </c>
      <c r="D46" s="66">
        <v>1</v>
      </c>
      <c r="E46" s="68" t="s">
        <v>593</v>
      </c>
      <c r="F46" s="67" t="s"/>
      <c r="G46" s="67" t="s"/>
      <c r="H46" s="70" t="s"/>
    </row>
    <row r="47" spans="3:8" ht="16.5" customHeight="1">
      <c r="C47" s="67" t="s">
        <v>195</v>
      </c>
      <c r="D47" s="66">
        <v>50</v>
      </c>
      <c r="E47" s="68" t="s"/>
      <c r="F47" s="67" t="s"/>
      <c r="G47" s="67" t="s"/>
      <c r="H47" s="70" t="s"/>
    </row>
    <row r="48" spans="1:8">
      <c r="A48" s="66" t="s">
        <v>230</v>
      </c>
      <c r="B48" s="66" t="s">
        <v>206</v>
      </c>
      <c r="C48" s="67" t="s">
        <v>231</v>
      </c>
      <c r="D48" s="66">
        <v>1</v>
      </c>
      <c r="E48" s="68" t="s">
        <v>594</v>
      </c>
      <c r="F48" s="67" t="s"/>
      <c r="G48" s="67" t="s"/>
      <c r="H48" s="70" t="s"/>
    </row>
    <row r="49" spans="3:8">
      <c r="C49" s="67" t="s">
        <v>217</v>
      </c>
      <c r="D49" s="66">
        <v>2</v>
      </c>
      <c r="E49" s="68" t="s">
        <v>595</v>
      </c>
      <c r="F49" s="67" t="s"/>
      <c r="G49" s="67" t="s"/>
      <c r="H49" s="70" t="s"/>
    </row>
    <row r="50" spans="3:8">
      <c r="C50" s="67" t="s">
        <v>195</v>
      </c>
      <c r="D50" s="66">
        <v>10</v>
      </c>
      <c r="E50" s="68" t="s"/>
      <c r="F50" s="67" t="s"/>
      <c r="G50" s="67" t="s"/>
      <c r="H50" s="70" t="s"/>
    </row>
    <row r="51" spans="1:8" ht="16.5" customHeight="1">
      <c r="A51" s="66" t="s">
        <v>232</v>
      </c>
      <c r="B51" s="66" t="s">
        <v>209</v>
      </c>
      <c r="C51" s="67" t="s">
        <v>198</v>
      </c>
      <c r="D51" s="66">
        <v>1</v>
      </c>
      <c r="E51" s="68" t="s">
        <v>596</v>
      </c>
      <c r="F51" s="67" t="s"/>
      <c r="G51" s="67" t="s"/>
      <c r="H51" s="70" t="s"/>
    </row>
    <row r="52" spans="3:8">
      <c r="C52" s="67" t="s">
        <v>193</v>
      </c>
      <c r="D52" s="66">
        <v>1</v>
      </c>
      <c r="E52" s="68" t="s">
        <v>597</v>
      </c>
      <c r="F52" s="67" t="s"/>
      <c r="G52" s="67" t="s"/>
      <c r="H52" s="70" t="s"/>
    </row>
    <row r="53" spans="3:8">
      <c r="C53" s="67" t="s">
        <v>195</v>
      </c>
      <c r="D53" s="66">
        <v>50</v>
      </c>
      <c r="E53" s="68" t="s"/>
      <c r="F53" s="67" t="s"/>
      <c r="G53" s="67" t="s"/>
      <c r="H53" s="70" t="s"/>
    </row>
    <row r="54" spans="1:8">
      <c r="A54" s="66" t="s">
        <v>233</v>
      </c>
      <c r="B54" s="66" t="s">
        <v>213</v>
      </c>
      <c r="C54" s="67" t="s">
        <v>210</v>
      </c>
      <c r="D54" s="66">
        <v>1</v>
      </c>
      <c r="E54" s="68" t="s">
        <v>598</v>
      </c>
      <c r="F54" s="67" t="s"/>
      <c r="G54" s="67" t="s"/>
      <c r="H54" s="70" t="s"/>
    </row>
    <row r="55" spans="3:8">
      <c r="C55" s="67" t="s">
        <v>198</v>
      </c>
      <c r="D55" s="66">
        <v>1</v>
      </c>
      <c r="E55" s="68" t="s">
        <v>599</v>
      </c>
      <c r="F55" s="67" t="s"/>
      <c r="G55" s="67" t="s"/>
      <c r="H55" s="70" t="s"/>
    </row>
    <row r="56" spans="3:8">
      <c r="C56" s="67" t="s">
        <v>231</v>
      </c>
      <c r="D56" s="66">
        <v>1</v>
      </c>
      <c r="E56" s="68" t="s">
        <v>600</v>
      </c>
      <c r="F56" s="67" t="s"/>
      <c r="G56" s="67" t="s"/>
      <c r="H56" s="70" t="s"/>
    </row>
    <row r="57" spans="3:8">
      <c r="C57" s="72" t="s">
        <v>195</v>
      </c>
      <c r="D57" s="73">
        <v>50</v>
      </c>
      <c r="E57" s="74" t="s"/>
      <c r="F57" s="72" t="s"/>
      <c r="G57" s="67" t="s"/>
      <c r="H57" s="70" t="s"/>
    </row>
    <row r="58" spans="1:8">
      <c r="A58" s="73" t="s">
        <v>234</v>
      </c>
      <c r="B58" s="73" t="s">
        <v>214</v>
      </c>
      <c r="C58" s="72" t="s">
        <v>210</v>
      </c>
      <c r="D58" s="73">
        <v>2</v>
      </c>
      <c r="E58" s="74" t="s">
        <v>601</v>
      </c>
      <c r="F58" s="72" t="s"/>
      <c r="G58" s="67" t="s"/>
      <c r="H58" s="70" t="s"/>
    </row>
    <row r="59" spans="3:8">
      <c r="C59" s="72" t="s">
        <v>235</v>
      </c>
      <c r="D59" s="73">
        <v>1</v>
      </c>
      <c r="E59" s="74" t="s">
        <v>602</v>
      </c>
      <c r="F59" s="72" t="s"/>
      <c r="G59" s="67" t="s"/>
      <c r="H59" s="70" t="s"/>
    </row>
    <row r="60" spans="3:8">
      <c r="C60" s="72" t="s">
        <v>195</v>
      </c>
      <c r="D60" s="73">
        <v>50</v>
      </c>
      <c r="E60" s="74" t="s"/>
      <c r="F60" s="72" t="s"/>
      <c r="G60" s="67" t="s"/>
      <c r="H60" s="70" t="s"/>
    </row>
    <row r="61" spans="1:8">
      <c r="A61" s="73" t="s">
        <v>236</v>
      </c>
      <c r="B61" s="73" t="s">
        <v>237</v>
      </c>
      <c r="C61" s="72" t="s">
        <v>213</v>
      </c>
      <c r="D61" s="73">
        <v>6</v>
      </c>
      <c r="E61" s="74" t="s">
        <v>603</v>
      </c>
      <c r="F61" s="72" t="s"/>
      <c r="G61" s="66" t="s">
        <v>37</v>
      </c>
      <c r="H61" s="70" t="s"/>
    </row>
    <row r="62" spans="3:8">
      <c r="C62" s="72" t="s">
        <v>214</v>
      </c>
      <c r="D62" s="73">
        <v>6</v>
      </c>
      <c r="E62" s="74" t="s">
        <v>604</v>
      </c>
      <c r="F62" s="72" t="s"/>
      <c r="H62" s="70" t="s"/>
    </row>
    <row r="63" spans="3:8">
      <c r="C63" s="72" t="s">
        <v>238</v>
      </c>
      <c r="D63" s="73">
        <v>2</v>
      </c>
      <c r="E63" s="74" t="s">
        <v>605</v>
      </c>
      <c r="F63" s="72" t="s"/>
      <c r="H63" s="70" t="s"/>
    </row>
    <row r="64" spans="3:8">
      <c r="C64" s="72" t="s">
        <v>195</v>
      </c>
      <c r="D64" s="73">
        <v>150</v>
      </c>
      <c r="E64" s="74" t="s"/>
      <c r="F64" s="72" t="s"/>
      <c r="H64" s="70" t="s"/>
    </row>
    <row r="65" spans="1:8" ht="18" customHeight="1">
      <c r="A65" s="73" t="s">
        <v>239</v>
      </c>
      <c r="B65" s="73" t="s">
        <v>240</v>
      </c>
      <c r="C65" s="72" t="s">
        <v>198</v>
      </c>
      <c r="D65" s="73">
        <v>2</v>
      </c>
      <c r="E65" s="74" t="s">
        <v>606</v>
      </c>
      <c r="F65" s="72" t="s"/>
      <c r="G65" s="66" t="s">
        <v>241</v>
      </c>
      <c r="H65" s="70" t="s"/>
    </row>
    <row r="66" spans="3:8">
      <c r="C66" s="72" t="s">
        <v>231</v>
      </c>
      <c r="D66" s="73">
        <v>2</v>
      </c>
      <c r="E66" s="74" t="s">
        <v>607</v>
      </c>
      <c r="F66" s="72" t="s"/>
      <c r="H66" s="70" t="s"/>
    </row>
    <row r="67" spans="3:8">
      <c r="C67" s="72" t="s">
        <v>195</v>
      </c>
      <c r="D67" s="73">
        <v>50</v>
      </c>
      <c r="E67" s="74" t="s"/>
      <c r="F67" s="72" t="s"/>
      <c r="H67" s="70" t="s"/>
    </row>
    <row r="68" spans="1:8">
      <c r="A68" s="73" t="s">
        <v>242</v>
      </c>
      <c r="B68" s="73" t="s">
        <v>243</v>
      </c>
      <c r="C68" s="75" t="s">
        <v>213</v>
      </c>
      <c r="D68" s="76">
        <v>2</v>
      </c>
      <c r="E68" s="74" t="s">
        <v>608</v>
      </c>
      <c r="F68" s="72" t="s"/>
      <c r="G68" s="66" t="s">
        <v>48</v>
      </c>
      <c r="H68" s="70" t="s"/>
    </row>
    <row r="69" spans="3:8">
      <c r="C69" s="75" t="s">
        <v>214</v>
      </c>
      <c r="D69" s="76">
        <v>1</v>
      </c>
      <c r="E69" s="74" t="s">
        <v>609</v>
      </c>
      <c r="F69" s="72" t="s"/>
      <c r="H69" s="70" t="s"/>
    </row>
    <row r="70" spans="3:8">
      <c r="C70" s="75" t="s">
        <v>215</v>
      </c>
      <c r="D70" s="76">
        <v>2</v>
      </c>
      <c r="E70" s="74" t="s">
        <v>610</v>
      </c>
      <c r="F70" s="72" t="s"/>
      <c r="H70" s="70" t="s"/>
    </row>
    <row r="71" spans="3:8">
      <c r="C71" s="77" t="s">
        <v>244</v>
      </c>
      <c r="D71" s="76">
        <v>2</v>
      </c>
      <c r="E71" s="74" t="s"/>
      <c r="F71" s="72" t="s"/>
      <c r="H71" s="70" t="s"/>
    </row>
    <row r="72" spans="3:8">
      <c r="C72" s="72" t="s">
        <v>195</v>
      </c>
      <c r="D72" s="73">
        <v>150</v>
      </c>
      <c r="E72" s="74" t="s"/>
      <c r="F72" s="72" t="s"/>
      <c r="H72" s="70" t="s"/>
    </row>
    <row r="73" spans="1:8">
      <c r="A73" s="73" t="s">
        <v>245</v>
      </c>
      <c r="B73" s="73" t="s">
        <v>246</v>
      </c>
      <c r="C73" s="72" t="s">
        <v>213</v>
      </c>
      <c r="D73" s="73">
        <v>6</v>
      </c>
      <c r="E73" s="74" t="s">
        <v>611</v>
      </c>
      <c r="F73" s="72" t="s"/>
      <c r="G73" s="66" t="s">
        <v>48</v>
      </c>
      <c r="H73" s="70" t="s"/>
    </row>
    <row r="74" spans="3:8">
      <c r="C74" s="72" t="s">
        <v>214</v>
      </c>
      <c r="D74" s="73">
        <v>6</v>
      </c>
      <c r="E74" s="74" t="s">
        <v>612</v>
      </c>
      <c r="F74" s="72" t="s"/>
      <c r="H74" s="70" t="s"/>
    </row>
    <row r="75" spans="3:8">
      <c r="C75" s="72" t="s">
        <v>199</v>
      </c>
      <c r="D75" s="73">
        <v>4</v>
      </c>
      <c r="E75" s="74" t="s">
        <v>613</v>
      </c>
      <c r="F75" s="72" t="s"/>
      <c r="H75" s="70" t="s"/>
    </row>
    <row r="76" spans="3:8">
      <c r="C76" s="72" t="s">
        <v>195</v>
      </c>
      <c r="D76" s="73">
        <v>150</v>
      </c>
      <c r="E76" s="74" t="s"/>
      <c r="F76" s="72" t="s"/>
      <c r="H76" s="70" t="s"/>
    </row>
    <row r="77" spans="1:8" ht="18" customHeight="1">
      <c r="A77" s="73" t="s">
        <v>247</v>
      </c>
      <c r="B77" s="73" t="s">
        <v>248</v>
      </c>
      <c r="C77" s="72" t="s">
        <v>249</v>
      </c>
      <c r="D77" s="73">
        <v>2</v>
      </c>
      <c r="E77" s="74" t="s">
        <v>614</v>
      </c>
      <c r="F77" s="72" t="s"/>
      <c r="G77" s="66" t="s">
        <v>48</v>
      </c>
      <c r="H77" s="70" t="s"/>
    </row>
    <row r="78" spans="3:8">
      <c r="C78" s="72" t="s">
        <v>250</v>
      </c>
      <c r="D78" s="73">
        <v>2</v>
      </c>
      <c r="E78" s="74" t="s">
        <v>615</v>
      </c>
      <c r="F78" s="72" t="s"/>
      <c r="H78" s="70" t="s"/>
    </row>
    <row r="79" spans="3:8">
      <c r="C79" s="72" t="s">
        <v>251</v>
      </c>
      <c r="D79" s="73">
        <v>1</v>
      </c>
      <c r="E79" s="74" t="s">
        <v>616</v>
      </c>
      <c r="F79" s="72" t="s"/>
      <c r="H79" s="70" t="s"/>
    </row>
    <row r="80" spans="3:8">
      <c r="C80" s="72" t="s">
        <v>252</v>
      </c>
      <c r="D80" s="73">
        <v>1</v>
      </c>
      <c r="E80" s="74" t="s">
        <v>617</v>
      </c>
      <c r="F80" s="72" t="s"/>
      <c r="H80" s="70" t="s"/>
    </row>
    <row r="81" spans="3:8">
      <c r="C81" s="72" t="s">
        <v>195</v>
      </c>
      <c r="D81" s="73">
        <v>50</v>
      </c>
      <c r="E81" s="74" t="s"/>
      <c r="F81" s="72" t="s"/>
      <c r="H81" s="70" t="s"/>
    </row>
    <row r="82" spans="1:8">
      <c r="A82" s="73" t="s">
        <v>253</v>
      </c>
      <c r="B82" s="73" t="s">
        <v>254</v>
      </c>
      <c r="C82" s="72" t="s">
        <v>213</v>
      </c>
      <c r="D82" s="73">
        <v>6</v>
      </c>
      <c r="E82" s="74" t="s">
        <v>618</v>
      </c>
      <c r="F82" s="72" t="s"/>
      <c r="G82" s="66" t="s">
        <v>48</v>
      </c>
      <c r="H82" s="70" t="s"/>
    </row>
    <row r="83" spans="3:8">
      <c r="C83" s="72" t="s">
        <v>214</v>
      </c>
      <c r="D83" s="73">
        <v>6</v>
      </c>
      <c r="E83" s="74" t="s">
        <v>619</v>
      </c>
      <c r="F83" s="72" t="s"/>
      <c r="H83" s="70" t="s"/>
    </row>
    <row r="84" spans="3:8">
      <c r="C84" s="72" t="s">
        <v>194</v>
      </c>
      <c r="D84" s="73">
        <v>20</v>
      </c>
      <c r="E84" s="74" t="s">
        <v>620</v>
      </c>
      <c r="F84" s="72" t="s"/>
      <c r="H84" s="70" t="s"/>
    </row>
    <row r="85" spans="3:8">
      <c r="C85" s="72" t="s">
        <v>195</v>
      </c>
      <c r="D85" s="73">
        <v>150</v>
      </c>
      <c r="E85" s="74" t="s"/>
      <c r="F85" s="72" t="s"/>
      <c r="H85" s="70" t="s"/>
    </row>
    <row r="86" spans="1:8">
      <c r="A86" s="73" t="s">
        <v>255</v>
      </c>
      <c r="B86" s="73" t="s">
        <v>256</v>
      </c>
      <c r="C86" s="72" t="s">
        <v>257</v>
      </c>
      <c r="D86" s="73">
        <v>1</v>
      </c>
      <c r="E86" s="74" t="s">
        <v>621</v>
      </c>
      <c r="F86" s="72" t="s"/>
      <c r="G86" s="66" t="s">
        <v>99</v>
      </c>
      <c r="H86" s="70" t="s"/>
    </row>
    <row r="87" spans="3:8">
      <c r="C87" s="72" t="s">
        <v>213</v>
      </c>
      <c r="D87" s="73">
        <v>2</v>
      </c>
      <c r="E87" s="74" t="s">
        <v>622</v>
      </c>
      <c r="F87" s="72" t="s"/>
      <c r="H87" s="70" t="s"/>
    </row>
    <row r="88" spans="3:8">
      <c r="C88" s="72" t="s">
        <v>199</v>
      </c>
      <c r="D88" s="73">
        <v>1</v>
      </c>
      <c r="E88" s="74" t="s">
        <v>623</v>
      </c>
      <c r="F88" s="72" t="s"/>
      <c r="H88" s="70" t="s"/>
    </row>
    <row r="89" spans="3:8">
      <c r="C89" s="72" t="s">
        <v>258</v>
      </c>
      <c r="D89" s="73">
        <v>1</v>
      </c>
      <c r="E89" s="74" t="s">
        <v>624</v>
      </c>
      <c r="F89" s="72" t="s"/>
      <c r="H89" s="70" t="s"/>
    </row>
    <row r="90" spans="3:8">
      <c r="C90" s="72" t="s">
        <v>195</v>
      </c>
      <c r="D90" s="73">
        <v>150</v>
      </c>
      <c r="E90" s="74" t="s"/>
      <c r="F90" s="72" t="s"/>
      <c r="H90" s="70" t="s"/>
    </row>
    <row r="91" spans="1:8">
      <c r="A91" s="78" t="s">
        <v>47</v>
      </c>
      <c r="B91" s="79" t="s">
        <v>259</v>
      </c>
      <c r="C91" s="80" t="s">
        <v>260</v>
      </c>
      <c r="D91" s="79">
        <v>2</v>
      </c>
      <c r="E91" s="81" t="s">
        <v>624</v>
      </c>
      <c r="F91" s="70" t="s"/>
      <c r="G91" s="82" t="str">
        <f>=IF(COUNTIF(材料来源!B:B,E91)&gt;0,HYPERLINK("#'材料来源'!B"&amp;MATCH(E91,材料来源!B:B,0),"前往-&gt;"),IF(COUNTIF(材料合成!C:C,E91)&gt;0,HYPERLINK("#'材料合成'!C"&amp;MATCH(E91,材料合成!C:C,0),"合成-&gt;"),""))</f>
        <v/>
      </c>
      <c r="H91" s="70" t="s"/>
    </row>
    <row r="92" spans="3:8">
      <c r="C92" s="83" t="s">
        <v>221</v>
      </c>
      <c r="D92" s="79">
        <v>1</v>
      </c>
      <c r="E92" s="81" t="s">
        <v>624</v>
      </c>
      <c r="F92" s="70" t="s"/>
      <c r="G92" s="84" t="s"/>
      <c r="H92" s="70" t="s"/>
    </row>
    <row r="93" spans="3:8">
      <c r="C93" s="83" t="s">
        <v>231</v>
      </c>
      <c r="D93" s="79">
        <v>1</v>
      </c>
      <c r="E93" s="81" t="s">
        <v>624</v>
      </c>
      <c r="F93" s="70" t="s"/>
      <c r="G93" s="84" t="s"/>
      <c r="H93" s="70" t="s"/>
    </row>
    <row r="94" spans="3:8">
      <c r="C94" s="83" t="s">
        <v>261</v>
      </c>
      <c r="D94" s="79">
        <v>1</v>
      </c>
      <c r="E94" s="81" t="s">
        <v>624</v>
      </c>
      <c r="F94" s="70" t="s"/>
      <c r="G94" s="84" t="s"/>
      <c r="H94" s="70" t="s"/>
    </row>
    <row r="95" spans="3:8">
      <c r="C95" s="83" t="s">
        <v>195</v>
      </c>
      <c r="D95" s="79">
        <v>150</v>
      </c>
      <c r="E95" s="81" t="s"/>
      <c r="F95" s="70" t="s"/>
      <c r="G95" s="85" t="s"/>
      <c r="H95" s="70" t="s"/>
    </row>
    <row r="96" spans="1:8">
      <c r="A96" s="86" t="s">
        <v>262</v>
      </c>
      <c r="B96" s="86" t="s">
        <v>263</v>
      </c>
      <c r="C96" s="87" t="s">
        <v>213</v>
      </c>
      <c r="D96" s="86">
        <v>6</v>
      </c>
      <c r="E96" s="81" t="s">
        <v>625</v>
      </c>
      <c r="F96" s="70" t="s"/>
      <c r="G96" s="88" t="s">
        <v>21</v>
      </c>
      <c r="H96" s="70" t="s"/>
    </row>
    <row r="97" spans="1:8">
      <c r="A97" s="84" t="s"/>
      <c r="B97" s="84" t="s"/>
      <c r="C97" s="87" t="s">
        <v>214</v>
      </c>
      <c r="D97" s="86">
        <v>6</v>
      </c>
      <c r="E97" s="81" t="s">
        <v>626</v>
      </c>
      <c r="F97" s="70" t="s"/>
      <c r="G97" s="84" t="s"/>
      <c r="H97" s="70" t="s"/>
    </row>
    <row r="98" spans="1:8">
      <c r="A98" s="84" t="s"/>
      <c r="B98" s="84" t="s"/>
      <c r="C98" s="70" t="s">
        <v>229</v>
      </c>
      <c r="D98" s="86">
        <v>12</v>
      </c>
      <c r="E98" s="68" t="s">
        <v>627</v>
      </c>
      <c r="F98" s="70" t="s"/>
      <c r="G98" s="84" t="s"/>
      <c r="H98" s="70" t="s"/>
    </row>
    <row r="99" spans="1:8">
      <c r="A99" s="85" t="s"/>
      <c r="B99" s="85" t="s"/>
      <c r="C99" s="70" t="s">
        <v>195</v>
      </c>
      <c r="D99" s="86">
        <v>150</v>
      </c>
      <c r="E99" s="70" t="s"/>
      <c r="F99" s="70" t="s"/>
      <c r="G99" s="85" t="s"/>
      <c r="H99" s="70" t="s"/>
    </row>
    <row r="100" spans="1:8" ht="18" customHeight="1">
      <c r="A100" s="86" t="s">
        <v>264</v>
      </c>
      <c r="B100" s="86" t="s">
        <v>260</v>
      </c>
      <c r="C100" s="70" t="s">
        <v>203</v>
      </c>
      <c r="D100" s="86">
        <v>1</v>
      </c>
      <c r="E100" s="68" t="s">
        <v>628</v>
      </c>
      <c r="F100" s="70" t="s"/>
      <c r="G100" s="89" t="s">
        <v>21</v>
      </c>
      <c r="H100" s="70" t="s"/>
    </row>
    <row r="101" spans="1:8" ht="18" customHeight="1">
      <c r="A101" s="84" t="s"/>
      <c r="B101" s="84" t="s"/>
      <c r="C101" s="70" t="s">
        <v>205</v>
      </c>
      <c r="D101" s="86">
        <v>1</v>
      </c>
      <c r="E101" s="68" t="s">
        <v>629</v>
      </c>
      <c r="F101" s="70" t="s"/>
      <c r="H101" s="70" t="s"/>
    </row>
    <row r="102" spans="1:8" ht="18" customHeight="1">
      <c r="A102" s="84" t="s"/>
      <c r="B102" s="84" t="s"/>
      <c r="C102" t="s">
        <v>204</v>
      </c>
      <c r="D102" s="86">
        <v>1</v>
      </c>
      <c r="E102" s="68" t="s">
        <v>630</v>
      </c>
      <c r="F102" s="70" t="s"/>
      <c r="H102" s="70" t="s"/>
    </row>
    <row r="103" spans="1:8" ht="18" customHeight="1">
      <c r="A103" s="85" t="s"/>
      <c r="B103" s="85" t="s"/>
      <c r="C103" t="s">
        <v>195</v>
      </c>
      <c r="D103" s="86">
        <v>50</v>
      </c>
      <c r="E103" s="81" t="s"/>
      <c r="F103" s="70" t="s"/>
      <c r="H103" s="70" t="s"/>
    </row>
    <row r="104" spans="1:8" ht="18" customHeight="1">
      <c r="A104" s="86" t="s">
        <v>265</v>
      </c>
      <c r="B104" s="86" t="s">
        <v>266</v>
      </c>
      <c r="C104" s="87" t="s">
        <v>213</v>
      </c>
      <c r="D104" s="86">
        <v>6</v>
      </c>
      <c r="E104" s="81" t="s">
        <v>631</v>
      </c>
      <c r="F104" s="70" t="s"/>
      <c r="G104" s="89" t="s">
        <v>104</v>
      </c>
      <c r="H104" s="70" t="s"/>
    </row>
    <row r="105" spans="1:8" ht="18" customHeight="1">
      <c r="A105" s="84" t="s"/>
      <c r="B105" s="84" t="s"/>
      <c r="C105" s="87" t="s">
        <v>214</v>
      </c>
      <c r="D105" s="86">
        <v>6</v>
      </c>
      <c r="E105" s="81" t="s">
        <v>632</v>
      </c>
      <c r="F105" s="70" t="s"/>
      <c r="H105" s="70" t="s"/>
    </row>
    <row r="106" spans="1:8" ht="18" customHeight="1">
      <c r="A106" s="84" t="s"/>
      <c r="B106" s="84" t="s"/>
      <c r="C106" s="70" t="s">
        <v>267</v>
      </c>
      <c r="D106" s="86">
        <v>4</v>
      </c>
      <c r="E106" s="81" t="s">
        <v>633</v>
      </c>
      <c r="F106" s="70" t="s"/>
      <c r="H106" s="70" t="s"/>
    </row>
    <row r="107" spans="1:8" ht="18" customHeight="1">
      <c r="A107" s="85" t="s"/>
      <c r="B107" s="85" t="s"/>
      <c r="C107" s="70" t="s">
        <v>195</v>
      </c>
      <c r="D107" s="86">
        <v>150</v>
      </c>
      <c r="E107" s="70" t="s"/>
      <c r="F107" s="70" t="s"/>
      <c r="H107" s="70" t="s"/>
    </row>
    <row r="108" spans="1:8" ht="18" customHeight="1">
      <c r="A108" s="86" t="s">
        <v>268</v>
      </c>
      <c r="B108" s="86" t="s">
        <v>269</v>
      </c>
      <c r="C108" s="70" t="s">
        <v>252</v>
      </c>
      <c r="D108" s="86">
        <v>3</v>
      </c>
      <c r="E108" s="81" t="s">
        <v>634</v>
      </c>
      <c r="F108" s="70" t="s"/>
      <c r="G108" s="89" t="s">
        <v>270</v>
      </c>
      <c r="H108" s="70" t="s"/>
    </row>
    <row r="109" spans="3:8" ht="18" customHeight="1">
      <c r="C109" s="70" t="s">
        <v>251</v>
      </c>
      <c r="D109" s="86">
        <v>1</v>
      </c>
      <c r="E109" s="81" t="s">
        <v>635</v>
      </c>
      <c r="F109" s="70" t="s"/>
      <c r="H109" s="70" t="s"/>
    </row>
    <row r="110" spans="3:8" ht="18" customHeight="1">
      <c r="C110" s="70" t="s">
        <v>205</v>
      </c>
      <c r="D110" s="86">
        <v>1</v>
      </c>
      <c r="E110" s="68" t="s">
        <v>629</v>
      </c>
      <c r="F110" s="70" t="s"/>
      <c r="H110" s="70" t="s"/>
    </row>
    <row r="111" spans="3:8" ht="18" customHeight="1">
      <c r="C111" s="70" t="s">
        <v>206</v>
      </c>
      <c r="D111" s="86">
        <v>1</v>
      </c>
      <c r="E111" s="81" t="s">
        <v>636</v>
      </c>
      <c r="F111" s="70" t="s"/>
      <c r="H111" s="70" t="s"/>
    </row>
    <row r="112" spans="1:8" ht="18" customHeight="1">
      <c r="A112" s="85" t="s"/>
      <c r="B112" s="85" t="s"/>
      <c r="C112" s="70" t="s">
        <v>195</v>
      </c>
      <c r="D112" s="86">
        <v>10</v>
      </c>
      <c r="E112" s="70" t="s"/>
      <c r="F112" s="70" t="s"/>
      <c r="H112" s="70" t="s"/>
    </row>
    <row r="113" spans="1:8">
      <c r="A113" s="70" t="s"/>
      <c r="B113" s="70" t="s"/>
      <c r="C113" s="70" t="s"/>
      <c r="D113" s="86" t="s"/>
      <c r="E113" s="70" t="s"/>
      <c r="F113" s="70" t="s"/>
      <c r="G113" s="90" t="str">
        <f>=IF(COUNTIF(材料来源!B:B,E113)&gt;0,HYPERLINK("#'材料来源'!B"&amp;MATCH(E113,材料来源!B:B,0),"前往-&gt;"),IF(COUNTIF(材料合成!C:C,E113)&gt;0,HYPERLINK("#'材料合成'!C"&amp;MATCH(E113,材料合成!C:C,0),"合成-&gt;"),""))</f>
        <v/>
      </c>
      <c r="H113" s="70" t="s"/>
    </row>
    <row r="114" spans="1:8">
      <c r="A114" s="70" t="s"/>
      <c r="B114" s="70" t="s"/>
      <c r="C114" s="70" t="s"/>
      <c r="D114" s="86" t="s"/>
      <c r="E114" s="70" t="s"/>
      <c r="F114" s="70" t="s"/>
      <c r="G114" s="90" t="str">
        <f>=IF(COUNTIF(材料来源!B:B,E114)&gt;0,HYPERLINK("#'材料来源'!B"&amp;MATCH(E114,材料来源!B:B,0),"前往-&gt;"),IF(COUNTIF(材料合成!C:C,E114)&gt;0,HYPERLINK("#'材料合成'!C"&amp;MATCH(E114,材料合成!C:C,0),"合成-&gt;"),""))</f>
        <v/>
      </c>
      <c r="H114" s="70" t="s"/>
    </row>
    <row r="115" spans="1:8">
      <c r="A115" s="70" t="s"/>
      <c r="B115" s="70" t="s"/>
      <c r="C115" s="70" t="s"/>
      <c r="D115" s="86" t="s"/>
      <c r="E115" s="70" t="s"/>
      <c r="F115" s="70" t="s"/>
      <c r="G115" s="90" t="str">
        <f>=IF(COUNTIF(材料来源!B:B,E115)&gt;0,HYPERLINK("#'材料来源'!B"&amp;MATCH(E115,材料来源!B:B,0),"前往-&gt;"),IF(COUNTIF(材料合成!C:C,E115)&gt;0,HYPERLINK("#'材料合成'!C"&amp;MATCH(E115,材料合成!C:C,0),"合成-&gt;"),""))</f>
        <v/>
      </c>
      <c r="H115" s="70" t="s"/>
    </row>
    <row r="116" spans="1:8">
      <c r="A116" s="70" t="s"/>
      <c r="B116" s="70" t="s"/>
      <c r="C116" s="70" t="s"/>
      <c r="D116" s="86" t="s"/>
      <c r="E116" s="70" t="s"/>
      <c r="F116" s="70" t="s"/>
      <c r="G116" s="90" t="str">
        <f>=IF(COUNTIF(材料来源!B:B,E116)&gt;0,HYPERLINK("#'材料来源'!B"&amp;MATCH(E116,材料来源!B:B,0),"前往-&gt;"),IF(COUNTIF(材料合成!C:C,E116)&gt;0,HYPERLINK("#'材料合成'!C"&amp;MATCH(E116,材料合成!C:C,0),"合成-&gt;"),""))</f>
        <v/>
      </c>
      <c r="H116" s="70" t="s"/>
    </row>
    <row r="117" spans="1:8">
      <c r="A117" s="70" t="s"/>
      <c r="B117" s="70" t="s"/>
      <c r="C117" s="70" t="s"/>
      <c r="D117" s="86" t="s"/>
      <c r="E117" s="70" t="s"/>
      <c r="F117" s="70" t="s"/>
      <c r="G117" s="90" t="str">
        <f>=IF(COUNTIF(材料来源!B:B,E117)&gt;0,HYPERLINK("#'材料来源'!B"&amp;MATCH(E117,材料来源!B:B,0),"前往-&gt;"),IF(COUNTIF(材料合成!C:C,E117)&gt;0,HYPERLINK("#'材料合成'!C"&amp;MATCH(E117,材料合成!C:C,0),"合成-&gt;"),""))</f>
        <v/>
      </c>
      <c r="H117" s="70" t="s"/>
    </row>
    <row r="118" spans="1:8">
      <c r="A118" s="70" t="s"/>
      <c r="B118" s="70" t="s"/>
      <c r="C118" s="70" t="s"/>
      <c r="D118" s="86" t="s"/>
      <c r="E118" s="70" t="s"/>
      <c r="F118" s="70" t="s"/>
      <c r="G118" s="90" t="str">
        <f>=IF(COUNTIF(材料来源!B:B,E118)&gt;0,HYPERLINK("#'材料来源'!B"&amp;MATCH(E118,材料来源!B:B,0),"前往-&gt;"),IF(COUNTIF(材料合成!C:C,E118)&gt;0,HYPERLINK("#'材料合成'!C"&amp;MATCH(E118,材料合成!C:C,0),"合成-&gt;"),""))</f>
        <v/>
      </c>
      <c r="H118" s="70" t="s"/>
    </row>
    <row r="119" spans="1:8">
      <c r="A119" s="70" t="s"/>
      <c r="B119" s="70" t="s"/>
      <c r="C119" s="70" t="s"/>
      <c r="D119" s="86" t="s"/>
      <c r="E119" s="70" t="s"/>
      <c r="F119" s="70" t="s"/>
      <c r="G119" s="90" t="str">
        <f>=IF(COUNTIF(材料来源!B:B,E119)&gt;0,HYPERLINK("#'材料来源'!B"&amp;MATCH(E119,材料来源!B:B,0),"前往-&gt;"),IF(COUNTIF(材料合成!C:C,E119)&gt;0,HYPERLINK("#'材料合成'!C"&amp;MATCH(E119,材料合成!C:C,0),"合成-&gt;"),""))</f>
        <v/>
      </c>
      <c r="H119" s="70" t="s"/>
    </row>
    <row r="120" spans="1:8">
      <c r="A120" s="70" t="s"/>
      <c r="B120" s="70" t="s"/>
      <c r="C120" s="70" t="s"/>
      <c r="D120" s="86" t="s"/>
      <c r="E120" s="70" t="s"/>
      <c r="F120" s="70" t="s"/>
      <c r="G120" s="90" t="str">
        <f>=IF(COUNTIF(材料来源!B:B,E120)&gt;0,HYPERLINK("#'材料来源'!B"&amp;MATCH(E120,材料来源!B:B,0),"前往-&gt;"),IF(COUNTIF(材料合成!C:C,E120)&gt;0,HYPERLINK("#'材料合成'!C"&amp;MATCH(E120,材料合成!C:C,0),"合成-&gt;"),""))</f>
        <v/>
      </c>
      <c r="H120" s="70" t="s"/>
    </row>
    <row r="121" spans="1:8">
      <c r="A121" s="70" t="s"/>
      <c r="B121" s="70" t="s"/>
      <c r="C121" s="70" t="s"/>
      <c r="D121" s="86" t="s"/>
      <c r="E121" s="70" t="s"/>
      <c r="F121" s="70" t="s"/>
      <c r="G121" s="90" t="str">
        <f>=IF(COUNTIF(材料来源!B:B,E121)&gt;0,HYPERLINK("#'材料来源'!B"&amp;MATCH(E121,材料来源!B:B,0),"前往-&gt;"),IF(COUNTIF(材料合成!C:C,E121)&gt;0,HYPERLINK("#'材料合成'!C"&amp;MATCH(E121,材料合成!C:C,0),"合成-&gt;"),""))</f>
        <v/>
      </c>
      <c r="H121" s="70" t="s"/>
    </row>
    <row r="122" spans="1:8">
      <c r="A122" s="70" t="s"/>
      <c r="B122" s="70" t="s"/>
      <c r="C122" s="70" t="s"/>
      <c r="D122" s="86" t="s"/>
      <c r="E122" s="70" t="s"/>
      <c r="F122" s="70" t="s"/>
      <c r="G122" s="90" t="str">
        <f>=IF(COUNTIF(材料来源!B:B,E122)&gt;0,HYPERLINK("#'材料来源'!B"&amp;MATCH(E122,材料来源!B:B,0),"前往-&gt;"),IF(COUNTIF(材料合成!C:C,E122)&gt;0,HYPERLINK("#'材料合成'!C"&amp;MATCH(E122,材料合成!C:C,0),"合成-&gt;"),""))</f>
        <v/>
      </c>
      <c r="H122" s="70" t="s"/>
    </row>
    <row r="123" spans="1:8">
      <c r="A123" s="70" t="s"/>
      <c r="B123" s="70" t="s"/>
      <c r="C123" s="70" t="s"/>
      <c r="D123" s="86" t="s"/>
      <c r="E123" s="70" t="s"/>
      <c r="F123" s="70" t="s"/>
      <c r="G123" s="90" t="str">
        <f>=IF(COUNTIF(材料来源!B:B,E123)&gt;0,HYPERLINK("#'材料来源'!B"&amp;MATCH(E123,材料来源!B:B,0),"前往-&gt;"),IF(COUNTIF(材料合成!C:C,E123)&gt;0,HYPERLINK("#'材料合成'!C"&amp;MATCH(E123,材料合成!C:C,0),"合成-&gt;"),""))</f>
        <v/>
      </c>
      <c r="H123" s="70" t="s"/>
    </row>
    <row r="124" spans="1:8">
      <c r="A124" s="70" t="s"/>
      <c r="B124" s="70" t="s"/>
      <c r="C124" s="70" t="s"/>
      <c r="D124" s="86" t="s"/>
      <c r="E124" s="70" t="s"/>
      <c r="F124" s="70" t="s"/>
      <c r="G124" s="90" t="str">
        <f>=IF(COUNTIF(材料来源!B:B,E124)&gt;0,HYPERLINK("#'材料来源'!B"&amp;MATCH(E124,材料来源!B:B,0),"前往-&gt;"),IF(COUNTIF(材料合成!C:C,E124)&gt;0,HYPERLINK("#'材料合成'!C"&amp;MATCH(E124,材料合成!C:C,0),"合成-&gt;"),""))</f>
        <v/>
      </c>
      <c r="H124" s="70" t="s"/>
    </row>
    <row r="125" spans="1:8">
      <c r="A125" s="70" t="s"/>
      <c r="B125" s="70" t="s"/>
      <c r="C125" s="70" t="s"/>
      <c r="D125" s="86" t="s"/>
      <c r="E125" s="70" t="s"/>
      <c r="F125" s="70" t="s"/>
      <c r="G125" s="90" t="str">
        <f>=IF(COUNTIF(材料来源!B:B,E125)&gt;0,HYPERLINK("#'材料来源'!B"&amp;MATCH(E125,材料来源!B:B,0),"前往-&gt;"),IF(COUNTIF(材料合成!C:C,E125)&gt;0,HYPERLINK("#'材料合成'!C"&amp;MATCH(E125,材料合成!C:C,0),"合成-&gt;"),""))</f>
        <v/>
      </c>
      <c r="H125" s="70" t="s"/>
    </row>
    <row r="126" spans="1:8">
      <c r="A126" s="70" t="s"/>
      <c r="B126" s="70" t="s"/>
      <c r="C126" s="70" t="s"/>
      <c r="D126" s="86" t="s"/>
      <c r="E126" s="70" t="s"/>
      <c r="F126" s="70" t="s"/>
      <c r="G126" s="90" t="str">
        <f>=IF(COUNTIF(材料来源!B:B,E126)&gt;0,HYPERLINK("#'材料来源'!B"&amp;MATCH(E126,材料来源!B:B,0),"前往-&gt;"),IF(COUNTIF(材料合成!C:C,E126)&gt;0,HYPERLINK("#'材料合成'!C"&amp;MATCH(E126,材料合成!C:C,0),"合成-&gt;"),""))</f>
        <v/>
      </c>
      <c r="H126" s="70" t="s"/>
    </row>
    <row r="127" spans="1:8">
      <c r="A127" s="70" t="s"/>
      <c r="B127" s="70" t="s"/>
      <c r="C127" s="70" t="s"/>
      <c r="D127" s="86" t="s"/>
      <c r="E127" s="70" t="s"/>
      <c r="F127" s="70" t="s"/>
      <c r="G127" s="90" t="str">
        <f>=IF(COUNTIF(材料来源!B:B,E127)&gt;0,HYPERLINK("#'材料来源'!B"&amp;MATCH(E127,材料来源!B:B,0),"前往-&gt;"),IF(COUNTIF(材料合成!C:C,E127)&gt;0,HYPERLINK("#'材料合成'!C"&amp;MATCH(E127,材料合成!C:C,0),"合成-&gt;"),""))</f>
        <v/>
      </c>
      <c r="H127" s="70" t="s"/>
    </row>
    <row r="128" spans="1:8">
      <c r="A128" s="70" t="s"/>
      <c r="B128" s="70" t="s"/>
      <c r="C128" s="70" t="s"/>
      <c r="D128" s="86" t="s"/>
      <c r="E128" s="70" t="s"/>
      <c r="F128" s="70" t="s"/>
      <c r="G128" s="90" t="str">
        <f>=IF(COUNTIF(材料来源!B:B,E128)&gt;0,HYPERLINK("#'材料来源'!B"&amp;MATCH(E128,材料来源!B:B,0),"前往-&gt;"),IF(COUNTIF(材料合成!C:C,E128)&gt;0,HYPERLINK("#'材料合成'!C"&amp;MATCH(E128,材料合成!C:C,0),"合成-&gt;"),""))</f>
        <v/>
      </c>
      <c r="H128" s="70" t="s"/>
    </row>
    <row r="129" spans="1:8">
      <c r="A129" s="70" t="s"/>
      <c r="B129" s="70" t="s"/>
      <c r="C129" s="70" t="s"/>
      <c r="D129" s="86" t="s"/>
      <c r="E129" s="70" t="s"/>
      <c r="F129" s="70" t="s"/>
      <c r="G129" s="90" t="str">
        <f>=IF(COUNTIF(材料来源!B:B,E129)&gt;0,HYPERLINK("#'材料来源'!B"&amp;MATCH(E129,材料来源!B:B,0),"前往-&gt;"),IF(COUNTIF(材料合成!C:C,E129)&gt;0,HYPERLINK("#'材料合成'!C"&amp;MATCH(E129,材料合成!C:C,0),"合成-&gt;"),""))</f>
        <v/>
      </c>
      <c r="H129" s="70" t="s"/>
    </row>
    <row r="130" spans="1:8">
      <c r="A130" s="70" t="s"/>
      <c r="B130" s="70" t="s"/>
      <c r="C130" s="70" t="s"/>
      <c r="D130" s="86" t="s"/>
      <c r="E130" s="70" t="s"/>
      <c r="F130" s="70" t="s"/>
      <c r="G130" s="90" t="str">
        <f>=IF(COUNTIF(材料来源!B:B,E130)&gt;0,HYPERLINK("#'材料来源'!B"&amp;MATCH(E130,材料来源!B:B,0),"前往-&gt;"),IF(COUNTIF(材料合成!C:C,E130)&gt;0,HYPERLINK("#'材料合成'!C"&amp;MATCH(E130,材料合成!C:C,0),"合成-&gt;"),""))</f>
        <v/>
      </c>
      <c r="H130" s="70" t="s"/>
    </row>
    <row r="131" spans="1:8">
      <c r="A131" s="70" t="s"/>
      <c r="B131" s="70" t="s"/>
      <c r="C131" s="70" t="s"/>
      <c r="D131" s="86" t="s"/>
      <c r="E131" s="70" t="s"/>
      <c r="F131" s="70" t="s"/>
      <c r="G131" s="90" t="str">
        <f>=IF(COUNTIF(材料来源!B:B,E131)&gt;0,HYPERLINK("#'材料来源'!B"&amp;MATCH(E131,材料来源!B:B,0),"前往-&gt;"),IF(COUNTIF(材料合成!C:C,E131)&gt;0,HYPERLINK("#'材料合成'!C"&amp;MATCH(E131,材料合成!C:C,0),"合成-&gt;"),""))</f>
        <v/>
      </c>
      <c r="H131" s="70" t="s"/>
    </row>
    <row r="132" spans="1:8">
      <c r="A132" s="70" t="s"/>
      <c r="B132" s="70" t="s"/>
      <c r="C132" s="70" t="s"/>
      <c r="D132" s="86" t="s"/>
      <c r="E132" s="70" t="s"/>
      <c r="F132" s="70" t="s"/>
      <c r="G132" s="90" t="str">
        <f>=IF(COUNTIF(材料来源!B:B,E132)&gt;0,HYPERLINK("#'材料来源'!B"&amp;MATCH(E132,材料来源!B:B,0),"前往-&gt;"),IF(COUNTIF(材料合成!C:C,E132)&gt;0,HYPERLINK("#'材料合成'!C"&amp;MATCH(E132,材料合成!C:C,0),"合成-&gt;"),""))</f>
        <v/>
      </c>
      <c r="H132" s="70" t="s"/>
    </row>
    <row r="133" spans="1:8">
      <c r="A133" s="70" t="s"/>
      <c r="B133" s="70" t="s"/>
      <c r="C133" s="70" t="s"/>
      <c r="D133" s="86" t="s"/>
      <c r="E133" s="70" t="s"/>
      <c r="F133" s="70" t="s"/>
      <c r="G133" s="90" t="str">
        <f>=IF(COUNTIF(材料来源!B:B,E133)&gt;0,HYPERLINK("#'材料来源'!B"&amp;MATCH(E133,材料来源!B:B,0),"前往-&gt;"),IF(COUNTIF(材料合成!C:C,E133)&gt;0,HYPERLINK("#'材料合成'!C"&amp;MATCH(E133,材料合成!C:C,0),"合成-&gt;"),""))</f>
        <v/>
      </c>
      <c r="H133" s="70" t="s"/>
    </row>
    <row r="134" spans="1:8">
      <c r="A134" s="70" t="s"/>
      <c r="B134" s="70" t="s"/>
      <c r="C134" s="70" t="s"/>
      <c r="D134" s="86" t="s"/>
      <c r="E134" s="70" t="s"/>
      <c r="F134" s="70" t="s"/>
      <c r="G134" s="90" t="str">
        <f>=IF(COUNTIF(材料来源!B:B,E134)&gt;0,HYPERLINK("#'材料来源'!B"&amp;MATCH(E134,材料来源!B:B,0),"前往-&gt;"),IF(COUNTIF(材料合成!C:C,E134)&gt;0,HYPERLINK("#'材料合成'!C"&amp;MATCH(E134,材料合成!C:C,0),"合成-&gt;"),""))</f>
        <v/>
      </c>
      <c r="H134" s="70" t="s"/>
    </row>
    <row r="135" spans="1:8">
      <c r="A135" s="70" t="s"/>
      <c r="B135" s="70" t="s"/>
      <c r="C135" s="70" t="s"/>
      <c r="D135" s="86" t="s"/>
      <c r="E135" s="70" t="s"/>
      <c r="F135" s="70" t="s"/>
      <c r="G135" s="90" t="str">
        <f>=IF(COUNTIF(材料来源!B:B,E135)&gt;0,HYPERLINK("#'材料来源'!B"&amp;MATCH(E135,材料来源!B:B,0),"前往-&gt;"),IF(COUNTIF(材料合成!C:C,E135)&gt;0,HYPERLINK("#'材料合成'!C"&amp;MATCH(E135,材料合成!C:C,0),"合成-&gt;"),""))</f>
        <v/>
      </c>
      <c r="H135" s="70" t="s"/>
    </row>
    <row r="136" spans="1:8">
      <c r="A136" s="70" t="s"/>
      <c r="B136" s="70" t="s"/>
      <c r="C136" s="70" t="s"/>
      <c r="D136" s="86" t="s"/>
      <c r="E136" s="70" t="s"/>
      <c r="F136" s="70" t="s"/>
      <c r="G136" s="90" t="str">
        <f>=IF(COUNTIF(材料来源!B:B,E136)&gt;0,HYPERLINK("#'材料来源'!B"&amp;MATCH(E136,材料来源!B:B,0),"前往-&gt;"),IF(COUNTIF(材料合成!C:C,E136)&gt;0,HYPERLINK("#'材料合成'!C"&amp;MATCH(E136,材料合成!C:C,0),"合成-&gt;"),""))</f>
        <v/>
      </c>
      <c r="H136" s="70" t="s"/>
    </row>
    <row r="137" spans="1:8">
      <c r="A137" s="70" t="s"/>
      <c r="B137" s="70" t="s"/>
      <c r="C137" s="70" t="s"/>
      <c r="D137" s="86" t="s"/>
      <c r="E137" s="70" t="s"/>
      <c r="F137" s="70" t="s"/>
      <c r="G137" s="90" t="str">
        <f>=IF(COUNTIF(材料来源!B:B,E137)&gt;0,HYPERLINK("#'材料来源'!B"&amp;MATCH(E137,材料来源!B:B,0),"前往-&gt;"),IF(COUNTIF(材料合成!C:C,E137)&gt;0,HYPERLINK("#'材料合成'!C"&amp;MATCH(E137,材料合成!C:C,0),"合成-&gt;"),""))</f>
        <v/>
      </c>
      <c r="H137" s="70" t="s"/>
    </row>
    <row r="138" spans="1:8">
      <c r="A138" s="70" t="s"/>
      <c r="B138" s="70" t="s"/>
      <c r="C138" s="70" t="s"/>
      <c r="D138" s="86" t="s"/>
      <c r="E138" s="70" t="s"/>
      <c r="F138" s="70" t="s"/>
      <c r="G138" s="90" t="str">
        <f>=IF(COUNTIF(材料来源!B:B,E138)&gt;0,HYPERLINK("#'材料来源'!B"&amp;MATCH(E138,材料来源!B:B,0),"前往-&gt;"),IF(COUNTIF(材料合成!C:C,E138)&gt;0,HYPERLINK("#'材料合成'!C"&amp;MATCH(E138,材料合成!C:C,0),"合成-&gt;"),""))</f>
        <v/>
      </c>
      <c r="H138" s="70" t="s"/>
    </row>
    <row r="139" spans="1:8">
      <c r="A139" s="70" t="s"/>
      <c r="B139" s="70" t="s"/>
      <c r="C139" s="70" t="s"/>
      <c r="D139" s="86" t="s"/>
      <c r="E139" s="70" t="s"/>
      <c r="F139" s="70" t="s"/>
      <c r="G139" s="90" t="str">
        <f>=IF(COUNTIF(材料来源!B:B,E139)&gt;0,HYPERLINK("#'材料来源'!B"&amp;MATCH(E139,材料来源!B:B,0),"前往-&gt;"),IF(COUNTIF(材料合成!C:C,E139)&gt;0,HYPERLINK("#'材料合成'!C"&amp;MATCH(E139,材料合成!C:C,0),"合成-&gt;"),""))</f>
        <v/>
      </c>
      <c r="H139" s="70" t="s"/>
    </row>
    <row r="140" spans="1:8">
      <c r="A140" s="70" t="s"/>
      <c r="B140" s="70" t="s"/>
      <c r="C140" s="70" t="s"/>
      <c r="D140" s="86" t="s"/>
      <c r="E140" s="70" t="s"/>
      <c r="F140" s="70" t="s"/>
      <c r="G140" s="90" t="str">
        <f>=IF(COUNTIF(材料来源!B:B,E140)&gt;0,HYPERLINK("#'材料来源'!B"&amp;MATCH(E140,材料来源!B:B,0),"前往-&gt;"),IF(COUNTIF(材料合成!C:C,E140)&gt;0,HYPERLINK("#'材料合成'!C"&amp;MATCH(E140,材料合成!C:C,0),"合成-&gt;"),""))</f>
        <v/>
      </c>
      <c r="H140" s="70" t="s"/>
    </row>
    <row r="141" spans="1:8">
      <c r="A141" s="70" t="s"/>
      <c r="B141" s="70" t="s"/>
      <c r="C141" s="70" t="s"/>
      <c r="D141" s="86" t="s"/>
      <c r="E141" s="70" t="s"/>
      <c r="F141" s="70" t="s"/>
      <c r="G141" s="90" t="str">
        <f>=IF(COUNTIF(材料来源!B:B,E141)&gt;0,HYPERLINK("#'材料来源'!B"&amp;MATCH(E141,材料来源!B:B,0),"前往-&gt;"),IF(COUNTIF(材料合成!C:C,E141)&gt;0,HYPERLINK("#'材料合成'!C"&amp;MATCH(E141,材料合成!C:C,0),"合成-&gt;"),""))</f>
        <v/>
      </c>
      <c r="H141" s="70" t="s"/>
    </row>
    <row r="142" spans="1:8">
      <c r="A142" s="70" t="s"/>
      <c r="B142" s="70" t="s"/>
      <c r="C142" s="70" t="s"/>
      <c r="D142" s="86" t="s"/>
      <c r="E142" s="70" t="s"/>
      <c r="F142" s="70" t="s"/>
      <c r="G142" s="90" t="str">
        <f>=IF(COUNTIF(材料来源!B:B,E142)&gt;0,HYPERLINK("#'材料来源'!B"&amp;MATCH(E142,材料来源!B:B,0),"前往-&gt;"),IF(COUNTIF(材料合成!C:C,E142)&gt;0,HYPERLINK("#'材料合成'!C"&amp;MATCH(E142,材料合成!C:C,0),"合成-&gt;"),""))</f>
        <v/>
      </c>
      <c r="H142" s="70" t="s"/>
    </row>
  </sheetData>
  <mergeCells count="64">
    <mergeCell ref="A4:A7"/>
    <mergeCell ref="B4:B7"/>
    <mergeCell ref="A8:A12"/>
    <mergeCell ref="B8:B12"/>
    <mergeCell ref="A13:A17"/>
    <mergeCell ref="B13:B17"/>
    <mergeCell ref="A18:A22"/>
    <mergeCell ref="B18:B22"/>
    <mergeCell ref="A23:A26"/>
    <mergeCell ref="B23:B26"/>
    <mergeCell ref="A27:A31"/>
    <mergeCell ref="B27:B31"/>
    <mergeCell ref="A32:A36"/>
    <mergeCell ref="B32:B36"/>
    <mergeCell ref="A37:A40"/>
    <mergeCell ref="B37:B40"/>
    <mergeCell ref="A41:A44"/>
    <mergeCell ref="B41:B44"/>
    <mergeCell ref="A45:A47"/>
    <mergeCell ref="B45:B47"/>
    <mergeCell ref="A48:A50"/>
    <mergeCell ref="B48:B50"/>
    <mergeCell ref="A51:A53"/>
    <mergeCell ref="B51:B53"/>
    <mergeCell ref="A54:A57"/>
    <mergeCell ref="B54:B57"/>
    <mergeCell ref="A58:A60"/>
    <mergeCell ref="B58:B60"/>
    <mergeCell ref="A61:A64"/>
    <mergeCell ref="B61:B64"/>
    <mergeCell ref="G61:G64"/>
    <mergeCell ref="A68:A72"/>
    <mergeCell ref="B68:B72"/>
    <mergeCell ref="G68:G72"/>
    <mergeCell ref="A73:A76"/>
    <mergeCell ref="B73:B76"/>
    <mergeCell ref="G73:G76"/>
    <mergeCell ref="A77:A81"/>
    <mergeCell ref="B77:B81"/>
    <mergeCell ref="G77:G81"/>
    <mergeCell ref="A82:A85"/>
    <mergeCell ref="B82:B85"/>
    <mergeCell ref="G82:G85"/>
    <mergeCell ref="A86:A90"/>
    <mergeCell ref="B86:B90"/>
    <mergeCell ref="G86:G90"/>
    <mergeCell ref="B91:B95"/>
    <mergeCell ref="G91:G95"/>
    <mergeCell ref="A91:A95"/>
    <mergeCell ref="B96:B99"/>
    <mergeCell ref="A96:A99"/>
    <mergeCell ref="G96:G99"/>
    <mergeCell ref="G104:G107"/>
    <mergeCell ref="B104:B107"/>
    <mergeCell ref="A104:A107"/>
    <mergeCell ref="B108:B112"/>
    <mergeCell ref="A108:A112"/>
    <mergeCell ref="G108:G112"/>
    <mergeCell ref="A65:A67"/>
    <mergeCell ref="B65:B67"/>
    <mergeCell ref="G65:G67"/>
    <mergeCell ref="A100:A103"/>
    <mergeCell ref="B100:B103"/>
    <mergeCell ref="G100:G103"/>
  </mergeCells>
  <hyperlinks>
    <hyperlink ref="I2" r:id="rId0"/>
    <hyperlink ref="E4" r:id="rId1"/>
    <hyperlink ref="E5" r:id="rId2"/>
    <hyperlink ref="E6" r:id="rId3"/>
    <hyperlink ref="E8" r:id="rId4"/>
    <hyperlink ref="E9" r:id="rId5"/>
    <hyperlink ref="E10" r:id="rId1"/>
    <hyperlink ref="E11" r:id="rId6"/>
    <hyperlink ref="E13" r:id="rId7"/>
    <hyperlink ref="E14" r:id="rId8"/>
    <hyperlink ref="E15" r:id="rId9"/>
    <hyperlink ref="E16" r:id="rId10"/>
    <hyperlink ref="E18" r:id="rId11"/>
    <hyperlink ref="E19" r:id="rId2"/>
    <hyperlink ref="E20" r:id="rId12"/>
    <hyperlink ref="E21" r:id="rId4"/>
    <hyperlink ref="E23" r:id="rId13"/>
    <hyperlink ref="E24" r:id="rId14"/>
    <hyperlink ref="E25" r:id="rId15"/>
    <hyperlink ref="E27" r:id="rId13"/>
    <hyperlink ref="E28" r:id="rId16"/>
    <hyperlink ref="E29" r:id="rId14"/>
    <hyperlink ref="E30" r:id="rId17"/>
    <hyperlink ref="E32" r:id="rId18"/>
    <hyperlink ref="E33" r:id="rId19"/>
    <hyperlink ref="E34" r:id="rId10"/>
    <hyperlink ref="E35" r:id="rId16"/>
    <hyperlink ref="E37" r:id="rId11"/>
    <hyperlink ref="E38" r:id="rId4"/>
    <hyperlink ref="E39" r:id="rId2"/>
    <hyperlink ref="E41" r:id="rId13"/>
    <hyperlink ref="E42" r:id="rId14"/>
    <hyperlink ref="E43" r:id="rId20"/>
    <hyperlink ref="E45" r:id="rId21"/>
    <hyperlink ref="E46" r:id="rId3"/>
    <hyperlink ref="E48" r:id="rId22"/>
    <hyperlink ref="E49" r:id="rId16"/>
    <hyperlink ref="E51" r:id="rId4"/>
    <hyperlink ref="E52" r:id="rId2"/>
    <hyperlink ref="E54" r:id="rId12"/>
    <hyperlink ref="E55" r:id="rId4"/>
    <hyperlink ref="E56" r:id="rId22"/>
    <hyperlink ref="E58" r:id="rId12"/>
    <hyperlink ref="E59" r:id="rId23"/>
    <hyperlink ref="E61" r:id="rId13"/>
    <hyperlink ref="E62" r:id="rId14"/>
    <hyperlink ref="E63" r:id="rId24"/>
    <hyperlink ref="E65" r:id="rId4"/>
    <hyperlink ref="E66" r:id="rId22"/>
    <hyperlink ref="E68" r:id="rId13"/>
    <hyperlink ref="E69" r:id="rId14"/>
    <hyperlink ref="E70" r:id="rId15"/>
    <hyperlink ref="E73" r:id="rId13"/>
    <hyperlink ref="E74" r:id="rId14"/>
    <hyperlink ref="E75" r:id="rId5"/>
    <hyperlink ref="E77" r:id="rId25"/>
    <hyperlink ref="E78" r:id="rId26"/>
    <hyperlink ref="E79" r:id="rId27"/>
    <hyperlink ref="E80" r:id="rId28"/>
    <hyperlink ref="E82" r:id="rId13"/>
    <hyperlink ref="E83" r:id="rId14"/>
    <hyperlink ref="E84" r:id="rId3"/>
    <hyperlink ref="E86" r:id="rId29"/>
    <hyperlink ref="E87" r:id="rId13"/>
    <hyperlink ref="E88" r:id="rId5"/>
    <hyperlink ref="E89" r:id="rId30"/>
    <hyperlink ref="E91" r:id="rId30"/>
    <hyperlink ref="E92" r:id="rId30"/>
    <hyperlink ref="E93" r:id="rId30"/>
    <hyperlink ref="E94" r:id="rId30"/>
    <hyperlink ref="E96" location="'材料合成'!B54:B57"/>
    <hyperlink ref="E97" location="'材料合成'!B58:B60"/>
    <hyperlink ref="E98" location="'材料来源'!B3:B7"/>
    <hyperlink ref="E100" location="'材料来源'!B28:B33"/>
    <hyperlink ref="E101" location="'材料来源'!B40:B47"/>
    <hyperlink ref="E102" location="'材料来源'!B34:B39"/>
    <hyperlink ref="E104" location="'材料合成'!B54:B57"/>
    <hyperlink ref="E105" location="'材料合成'!B58:B60"/>
    <hyperlink ref="E106" location="'材料来源'!B91:B95"/>
    <hyperlink ref="E108" location="'材料来源'!B113:B116"/>
    <hyperlink ref="E109" location="'材料来源'!B136:B138"/>
    <hyperlink ref="E110" location="'材料来源'!B40:B47"/>
    <hyperlink ref="E111" location="'材料合成'!B48:B50"/>
  </hyperlinks>
  <pageMargins left="0.7" right="0.7" top="0.75" bottom="0.75" header="0.3" footer="0.3"/>
</worksheet>
</file>

<file path=xl/worksheets/sheet3.xml><?xml version="1.0" encoding="utf-8"?>
<worksheet xmlns:r="http://schemas.openxmlformats.org/officeDocument/2006/relationships" xmlns="http://schemas.openxmlformats.org/spreadsheetml/2006/main">
  <sheetPr/>
  <dimension ref="C139"/>
  <sheetViews>
    <sheetView showGridLines="1" zoomScaleNormal="100" workbookViewId="0">
      <pane ySplit="1" topLeftCell="A2" state="frozen"/>
    </sheetView>
  </sheetViews>
  <sheetFormatPr baseColWidth="8" defaultRowHeight="14"/>
  <cols>
    <col min="1" max="1" width="6.49219" style="326" customWidth="1"/>
    <col min="2" max="2" width="8.29297" style="327" bestFit="1" customWidth="1"/>
    <col min="3" max="3" width="8.66406" style="328"/>
    <col min="4" max="4" width="6.62109" style="231" customWidth="1"/>
    <col min="5" max="5" width="8.58203" style="329" customWidth="1"/>
    <col min="6" max="6" width="4.66016" style="246" customWidth="1"/>
    <col min="7" max="7" width="27.2617" style="159" customWidth="1"/>
    <col min="8" max="8" width="37.0703" style="148" customWidth="1"/>
    <col min="9" max="9" width="22.8125" style="148" customWidth="1"/>
    <col min="10" max="10" width="8.60938" style="159"/>
    <col min="11" max="25" width="8.60938" style="231"/>
  </cols>
  <sheetData>
    <row r="1" spans="1:25" s="101" customFormat="1" ht="27.75" customHeight="1">
      <c r="A1" s="91" t="s">
        <v>184</v>
      </c>
      <c r="B1" s="92" t="s">
        <v>5</v>
      </c>
      <c r="C1" s="93" t="s">
        <v>271</v>
      </c>
      <c r="D1" s="94" t="s"/>
      <c r="E1" s="95" t="s">
        <v>271</v>
      </c>
      <c r="F1" s="96" t="s">
        <v>272</v>
      </c>
      <c r="G1" s="97" t="s">
        <v>273</v>
      </c>
      <c r="H1" s="98" t="s">
        <v>274</v>
      </c>
      <c r="I1" s="99" t="s"/>
      <c r="J1" s="100" t="s"/>
      <c r="K1" s="101" t="s"/>
      <c r="L1" s="101" t="s"/>
      <c r="M1" s="101" t="s"/>
      <c r="N1" s="101" t="s"/>
      <c r="O1" s="101" t="s"/>
      <c r="P1" s="101" t="s"/>
      <c r="Q1" s="101" t="s"/>
      <c r="R1" s="101" t="s"/>
      <c r="S1" s="101" t="s"/>
      <c r="T1" s="101" t="s"/>
      <c r="U1" s="101" t="s"/>
      <c r="V1" s="101" t="s"/>
      <c r="W1" s="101" t="s"/>
      <c r="X1" s="101" t="s"/>
      <c r="Y1" s="101" t="s"/>
    </row>
    <row r="2" spans="1:25" s="325" customFormat="1" ht="13.5" customHeight="1">
      <c r="A2" s="102" t="s">
        <v>229</v>
      </c>
      <c r="B2" s="103" t="s">
        <v>229</v>
      </c>
      <c r="C2" s="104" t="s">
        <v>275</v>
      </c>
      <c r="D2" s="105" t="s"/>
      <c r="E2" s="106" t="s">
        <v>276</v>
      </c>
      <c r="F2" s="107" t="s"/>
      <c r="G2" s="108" t="s"/>
      <c r="H2" s="109" t="s"/>
      <c r="I2" s="110" t="s">
        <v>277</v>
      </c>
      <c r="J2" s="111" t="s">
        <v>6</v>
      </c>
      <c r="K2" s="105" t="s"/>
      <c r="L2" s="105" t="s"/>
      <c r="M2" s="105" t="s"/>
      <c r="N2" s="105" t="s"/>
      <c r="O2" s="105" t="s"/>
      <c r="P2" s="105" t="s"/>
      <c r="Q2" s="105" t="s"/>
      <c r="R2" s="105" t="s"/>
      <c r="S2" s="105" t="s"/>
      <c r="T2" s="105" t="s"/>
      <c r="U2" s="105" t="s"/>
      <c r="V2" s="105" t="s"/>
      <c r="W2" s="105" t="s"/>
      <c r="X2" s="105" t="s"/>
      <c r="Y2" s="105" t="s"/>
    </row>
    <row r="3" spans="1:10" ht="16.5" customHeight="1">
      <c r="A3" s="112" t="s"/>
      <c r="B3" s="113" t="s"/>
      <c r="C3" s="114" t="s">
        <v>278</v>
      </c>
      <c r="E3" s="115" t="s">
        <v>279</v>
      </c>
      <c r="F3" s="116" t="s">
        <v>280</v>
      </c>
      <c r="G3" s="117" t="s">
        <v>281</v>
      </c>
      <c r="H3" s="118" t="s">
        <v>282</v>
      </c>
      <c r="I3" s="119" t="s">
        <v>637</v>
      </c>
      <c r="J3" s="120" t="s"/>
    </row>
    <row r="4" spans="1:10">
      <c r="A4" s="121" t="s"/>
      <c r="B4" s="122" t="s"/>
      <c r="C4" s="123" t="s">
        <v>283</v>
      </c>
      <c r="E4" s="124" t="s"/>
      <c r="F4" s="125" t="s"/>
      <c r="G4" s="126" t="s"/>
      <c r="H4" s="127" t="s"/>
      <c r="I4" s="128" t="s">
        <v>284</v>
      </c>
      <c r="J4" s="129" t="s"/>
    </row>
    <row r="5" spans="1:10">
      <c r="A5" s="121" t="s"/>
      <c r="B5" s="122" t="s"/>
      <c r="C5" s="130" t="s">
        <v>285</v>
      </c>
      <c r="E5" s="131" t="s">
        <v>286</v>
      </c>
      <c r="F5" s="132">
        <v>3</v>
      </c>
      <c r="G5" s="133" t="s">
        <v>287</v>
      </c>
      <c r="H5" s="134" t="s">
        <v>288</v>
      </c>
      <c r="I5" s="133" t="s">
        <v>289</v>
      </c>
      <c r="J5" s="135" t="s">
        <v>290</v>
      </c>
    </row>
    <row r="6" spans="1:10">
      <c r="A6" s="121" t="s"/>
      <c r="B6" s="122" t="s"/>
      <c r="C6" s="130" t="s">
        <v>291</v>
      </c>
      <c r="E6" s="136" t="s">
        <v>292</v>
      </c>
      <c r="F6" s="137">
        <v>5</v>
      </c>
      <c r="G6" s="138" t="s">
        <v>293</v>
      </c>
      <c r="H6" s="139" t="s">
        <v>294</v>
      </c>
      <c r="I6" s="133" t="s">
        <v>295</v>
      </c>
      <c r="J6" s="140" t="s">
        <v>290</v>
      </c>
    </row>
    <row r="7" spans="1:10">
      <c r="A7" s="141" t="s">
        <v>296</v>
      </c>
      <c r="B7" s="142" t="s">
        <v>194</v>
      </c>
      <c r="C7" s="143" t="s">
        <v>297</v>
      </c>
      <c r="E7" s="131" t="s">
        <v>298</v>
      </c>
      <c r="F7" s="132">
        <v>3</v>
      </c>
      <c r="G7" s="133" t="s">
        <v>299</v>
      </c>
      <c r="H7" s="144" t="s">
        <v>300</v>
      </c>
      <c r="I7" s="133" t="s"/>
      <c r="J7" s="135" t="s"/>
    </row>
    <row r="8" spans="1:10">
      <c r="A8" s="112" t="s"/>
      <c r="B8" s="113" t="s"/>
      <c r="C8" s="114" t="s">
        <v>301</v>
      </c>
      <c r="E8" s="131" t="s">
        <v>302</v>
      </c>
      <c r="F8" s="132">
        <v>3</v>
      </c>
      <c r="G8" s="133" t="s">
        <v>303</v>
      </c>
      <c r="H8" s="144" t="s">
        <v>304</v>
      </c>
      <c r="I8" s="133" t="s"/>
      <c r="J8" s="135" t="s"/>
    </row>
    <row r="9" spans="1:10">
      <c r="A9" s="121" t="s"/>
      <c r="B9" s="122" t="s"/>
      <c r="C9" s="130" t="s">
        <v>305</v>
      </c>
      <c r="E9" s="131" t="s">
        <v>306</v>
      </c>
      <c r="F9" s="132">
        <v>3</v>
      </c>
      <c r="G9" s="133" t="s">
        <v>307</v>
      </c>
      <c r="H9" s="144" t="s">
        <v>308</v>
      </c>
      <c r="I9" s="133" t="s"/>
      <c r="J9" s="135" t="s"/>
    </row>
    <row r="10" spans="1:10">
      <c r="A10" s="121" t="s"/>
      <c r="B10" s="122" t="s"/>
      <c r="C10" s="130" t="s">
        <v>309</v>
      </c>
      <c r="E10" s="136" t="s">
        <v>310</v>
      </c>
      <c r="F10" s="137">
        <v>5</v>
      </c>
      <c r="G10" s="138" t="s">
        <v>311</v>
      </c>
      <c r="H10" s="139" t="s">
        <v>312</v>
      </c>
      <c r="I10" s="145" t="s">
        <v>295</v>
      </c>
      <c r="J10" s="140" t="s">
        <v>290</v>
      </c>
    </row>
    <row r="11" spans="1:10">
      <c r="A11" s="141" t="s">
        <v>313</v>
      </c>
      <c r="B11" s="142" t="s">
        <v>198</v>
      </c>
      <c r="C11" s="146" t="s">
        <v>314</v>
      </c>
      <c r="E11" s="147" t="s">
        <v>315</v>
      </c>
      <c r="F11" s="132">
        <v>3</v>
      </c>
      <c r="G11" s="148" t="s">
        <v>316</v>
      </c>
      <c r="H11" s="149" t="s">
        <v>317</v>
      </c>
      <c r="I11" s="148" t="s"/>
      <c r="J11" s="150" t="s"/>
    </row>
    <row r="12" spans="1:10">
      <c r="A12" s="112" t="s"/>
      <c r="B12" s="113" t="s"/>
      <c r="C12" s="151" t="s">
        <v>318</v>
      </c>
      <c r="E12" s="152" t="s">
        <v>319</v>
      </c>
      <c r="F12" s="137">
        <v>4</v>
      </c>
      <c r="G12" s="153" t="s">
        <v>320</v>
      </c>
      <c r="H12" s="154" t="s">
        <v>321</v>
      </c>
      <c r="I12" s="148" t="s">
        <v>322</v>
      </c>
      <c r="J12" s="155" t="s">
        <v>323</v>
      </c>
    </row>
    <row r="13" spans="1:10">
      <c r="A13" s="121" t="s"/>
      <c r="B13" s="122" t="s"/>
      <c r="C13" s="156" t="s">
        <v>310</v>
      </c>
      <c r="E13" s="157" t="s">
        <v>324</v>
      </c>
      <c r="F13" s="132">
        <v>2</v>
      </c>
      <c r="G13" s="148" t="s">
        <v>325</v>
      </c>
      <c r="H13" s="149" t="s">
        <v>326</v>
      </c>
      <c r="I13" s="148" t="s"/>
      <c r="J13" s="150" t="s"/>
    </row>
    <row r="14" spans="1:10">
      <c r="A14" s="121" t="s"/>
      <c r="B14" s="122" t="s"/>
      <c r="C14" s="123" t="s">
        <v>297</v>
      </c>
      <c r="E14" s="157" t="s">
        <v>327</v>
      </c>
      <c r="F14" s="132">
        <v>2</v>
      </c>
      <c r="G14" s="148" t="s">
        <v>328</v>
      </c>
      <c r="H14" s="149" t="s">
        <v>329</v>
      </c>
      <c r="I14" s="158" t="s">
        <v>330</v>
      </c>
      <c r="J14" s="150" t="s"/>
    </row>
    <row r="15" spans="1:11">
      <c r="A15" s="121" t="s"/>
      <c r="B15" s="122" t="s"/>
      <c r="C15" s="123" t="s">
        <v>331</v>
      </c>
      <c r="E15" s="157" t="s">
        <v>332</v>
      </c>
      <c r="F15" s="132">
        <v>4</v>
      </c>
      <c r="G15" s="148" t="s">
        <v>333</v>
      </c>
      <c r="H15" s="149" t="s">
        <v>334</v>
      </c>
      <c r="I15" s="148" t="s">
        <v>335</v>
      </c>
      <c r="J15" s="150" t="s">
        <v>127</v>
      </c>
      <c r="K15" s="159" t="s"/>
    </row>
    <row r="16" spans="1:10">
      <c r="A16" s="121" t="s"/>
      <c r="B16" s="122" t="s"/>
      <c r="C16" s="130" t="s">
        <v>285</v>
      </c>
      <c r="E16" s="160" t="s">
        <v>336</v>
      </c>
      <c r="F16" s="161">
        <v>4</v>
      </c>
      <c r="G16" s="162" t="s">
        <v>337</v>
      </c>
      <c r="H16" s="163" t="s">
        <v>338</v>
      </c>
      <c r="I16" s="164" t="s">
        <v>335</v>
      </c>
      <c r="J16" s="150" t="s">
        <v>127</v>
      </c>
    </row>
    <row r="17" spans="1:10">
      <c r="A17" s="141" t="s">
        <v>339</v>
      </c>
      <c r="B17" s="142" t="s">
        <v>199</v>
      </c>
      <c r="C17" s="146" t="s">
        <v>310</v>
      </c>
      <c r="E17" s="157" t="s">
        <v>283</v>
      </c>
      <c r="F17" s="132">
        <v>3</v>
      </c>
      <c r="G17" s="148" t="s">
        <v>340</v>
      </c>
      <c r="H17" s="149" t="s">
        <v>341</v>
      </c>
      <c r="I17" s="164" t="s">
        <v>342</v>
      </c>
      <c r="J17" s="150" t="s">
        <v>127</v>
      </c>
    </row>
    <row r="18" spans="1:10" ht="16.5" customHeight="1">
      <c r="A18" s="112" t="s"/>
      <c r="B18" s="113" t="s"/>
      <c r="C18" s="114" t="s">
        <v>343</v>
      </c>
      <c r="E18" s="165" t="s">
        <v>344</v>
      </c>
      <c r="F18" s="166">
        <v>5</v>
      </c>
      <c r="G18" s="162" t="s">
        <v>345</v>
      </c>
      <c r="H18" s="167" t="s">
        <v>346</v>
      </c>
      <c r="I18" s="148" t="s"/>
      <c r="J18" s="150" t="s"/>
    </row>
    <row r="19" spans="1:10">
      <c r="A19" s="121" t="s"/>
      <c r="B19" s="122" t="s"/>
      <c r="C19" s="130" t="s">
        <v>347</v>
      </c>
      <c r="E19" s="168" t="s">
        <v>297</v>
      </c>
      <c r="F19" s="132">
        <v>4</v>
      </c>
      <c r="G19" s="148" t="s">
        <v>348</v>
      </c>
      <c r="H19" s="149" t="s">
        <v>349</v>
      </c>
      <c r="I19" s="148" t="s"/>
      <c r="J19" s="150" t="s"/>
    </row>
    <row r="20" spans="1:10">
      <c r="A20" s="141" t="s">
        <v>350</v>
      </c>
      <c r="B20" s="142" t="s">
        <v>193</v>
      </c>
      <c r="C20" s="143" t="s">
        <v>351</v>
      </c>
      <c r="E20" s="168" t="s">
        <v>352</v>
      </c>
      <c r="F20" s="132">
        <v>3</v>
      </c>
      <c r="G20" s="148" t="s">
        <v>353</v>
      </c>
      <c r="H20" s="149" t="s">
        <v>354</v>
      </c>
      <c r="I20" s="148" t="s"/>
      <c r="J20" s="150" t="s"/>
    </row>
    <row r="21" spans="1:11">
      <c r="A21" s="112" t="s"/>
      <c r="B21" s="113" t="s"/>
      <c r="C21" s="114" t="s">
        <v>344</v>
      </c>
      <c r="E21" s="168" t="s">
        <v>301</v>
      </c>
      <c r="F21" s="132">
        <v>4</v>
      </c>
      <c r="G21" s="148" t="s">
        <v>355</v>
      </c>
      <c r="H21" s="149" t="s">
        <v>356</v>
      </c>
      <c r="I21" s="148" t="s"/>
      <c r="J21" s="150" t="s"/>
      <c r="K21" s="169" t="s">
        <v>357</v>
      </c>
    </row>
    <row r="22" spans="1:10">
      <c r="A22" s="121" t="s"/>
      <c r="B22" s="122" t="s"/>
      <c r="C22" s="130" t="s">
        <v>358</v>
      </c>
      <c r="E22" s="168" t="s">
        <v>359</v>
      </c>
      <c r="F22" s="132">
        <v>4</v>
      </c>
      <c r="G22" s="148" t="s">
        <v>360</v>
      </c>
      <c r="H22" s="149" t="s">
        <v>361</v>
      </c>
      <c r="I22" s="148" t="s">
        <v>362</v>
      </c>
      <c r="J22" s="150" t="s">
        <v>60</v>
      </c>
    </row>
    <row r="23" spans="1:10">
      <c r="A23" s="121" t="s"/>
      <c r="B23" s="122" t="s"/>
      <c r="C23" s="130" t="s">
        <v>363</v>
      </c>
      <c r="E23" s="168" t="s">
        <v>331</v>
      </c>
      <c r="F23" s="132">
        <v>3</v>
      </c>
      <c r="G23" s="148" t="s">
        <v>364</v>
      </c>
      <c r="H23" s="149" t="s">
        <v>365</v>
      </c>
      <c r="I23" s="170" t="s">
        <v>366</v>
      </c>
      <c r="J23" s="150" t="s">
        <v>367</v>
      </c>
    </row>
    <row r="24" spans="1:10">
      <c r="A24" s="121" t="s"/>
      <c r="B24" s="122" t="s"/>
      <c r="C24" s="130" t="s">
        <v>368</v>
      </c>
      <c r="E24" s="168" t="s">
        <v>343</v>
      </c>
      <c r="F24" s="171">
        <v>4</v>
      </c>
      <c r="G24" s="148" t="s">
        <v>369</v>
      </c>
      <c r="H24" s="163" t="s">
        <v>370</v>
      </c>
      <c r="I24" s="148" t="s"/>
      <c r="J24" s="150" t="s"/>
    </row>
    <row r="25" spans="1:10">
      <c r="A25" s="141" t="s">
        <v>371</v>
      </c>
      <c r="B25" s="142" t="s">
        <v>200</v>
      </c>
      <c r="C25" s="172" t="s">
        <v>372</v>
      </c>
      <c r="E25" s="168" t="s">
        <v>373</v>
      </c>
      <c r="F25" s="132">
        <v>2</v>
      </c>
      <c r="G25" s="148" t="s">
        <v>374</v>
      </c>
      <c r="H25" s="149" t="s">
        <v>375</v>
      </c>
      <c r="I25" s="148" t="s"/>
      <c r="J25" s="150" t="s"/>
    </row>
    <row r="26" spans="1:10" ht="16.5" customHeight="1">
      <c r="A26" s="112" t="s"/>
      <c r="B26" s="113" t="s"/>
      <c r="C26" s="173" t="s">
        <v>376</v>
      </c>
      <c r="E26" s="174" t="s">
        <v>377</v>
      </c>
      <c r="F26" s="132">
        <v>5</v>
      </c>
      <c r="G26" s="148" t="s">
        <v>378</v>
      </c>
      <c r="H26" s="149" t="s">
        <v>379</v>
      </c>
      <c r="I26" s="148" t="s"/>
      <c r="J26" s="150" t="s"/>
    </row>
    <row r="27" spans="1:10">
      <c r="A27" s="141" t="s">
        <v>61</v>
      </c>
      <c r="B27" s="142" t="s">
        <v>203</v>
      </c>
      <c r="C27" s="143" t="s">
        <v>380</v>
      </c>
      <c r="E27" s="174" t="s">
        <v>381</v>
      </c>
      <c r="F27" s="132">
        <v>5</v>
      </c>
      <c r="G27" s="148" t="s">
        <v>382</v>
      </c>
      <c r="H27" s="149" t="s">
        <v>383</v>
      </c>
      <c r="I27" s="148" t="s"/>
      <c r="J27" s="150" t="s"/>
    </row>
    <row r="28" spans="1:10" ht="16.5" customHeight="1">
      <c r="A28" s="112" t="s"/>
      <c r="B28" s="113" t="s"/>
      <c r="C28" s="114" t="s">
        <v>344</v>
      </c>
      <c r="E28" s="174" t="s">
        <v>384</v>
      </c>
      <c r="F28" s="132">
        <v>6</v>
      </c>
      <c r="G28" s="148" t="s">
        <v>385</v>
      </c>
      <c r="H28" s="149" t="s">
        <v>386</v>
      </c>
      <c r="I28" s="148" t="s"/>
      <c r="J28" s="150" t="s"/>
    </row>
    <row r="29" spans="1:10">
      <c r="A29" s="121" t="s"/>
      <c r="B29" s="122" t="s"/>
      <c r="C29" s="123" t="s">
        <v>352</v>
      </c>
      <c r="E29" s="174" t="s">
        <v>387</v>
      </c>
      <c r="F29" s="132">
        <v>4</v>
      </c>
      <c r="G29" s="148" t="s">
        <v>388</v>
      </c>
      <c r="H29" s="149" t="s">
        <v>389</v>
      </c>
      <c r="I29" s="148" t="s"/>
      <c r="J29" s="150" t="s"/>
    </row>
    <row r="30" spans="1:10">
      <c r="A30" s="121" t="s"/>
      <c r="B30" s="122" t="s"/>
      <c r="C30" s="130" t="s">
        <v>390</v>
      </c>
      <c r="E30" s="175" t="s">
        <v>285</v>
      </c>
      <c r="F30" s="161">
        <v>4</v>
      </c>
      <c r="G30" s="148" t="s">
        <v>391</v>
      </c>
      <c r="H30" s="163" t="s">
        <v>392</v>
      </c>
      <c r="I30" s="148" t="s">
        <v>393</v>
      </c>
      <c r="J30" s="150" t="s"/>
    </row>
    <row r="31" spans="1:10">
      <c r="A31" s="121" t="s"/>
      <c r="B31" s="122" t="s"/>
      <c r="C31" s="130" t="s">
        <v>363</v>
      </c>
      <c r="E31" s="174" t="s">
        <v>394</v>
      </c>
      <c r="F31" s="132">
        <v>3</v>
      </c>
      <c r="G31" s="148" t="s">
        <v>395</v>
      </c>
      <c r="H31" s="149" t="s">
        <v>396</v>
      </c>
      <c r="I31" s="148" t="s">
        <v>397</v>
      </c>
      <c r="J31" s="150" t="s"/>
    </row>
    <row r="32" spans="1:10">
      <c r="A32" s="121" t="s"/>
      <c r="B32" s="122" t="s"/>
      <c r="C32" s="130" t="s">
        <v>347</v>
      </c>
      <c r="E32" s="174" t="s">
        <v>398</v>
      </c>
      <c r="F32" s="166">
        <v>6</v>
      </c>
      <c r="G32" s="148" t="s">
        <v>399</v>
      </c>
      <c r="H32" s="167" t="s">
        <v>400</v>
      </c>
      <c r="I32" s="148" t="s"/>
      <c r="J32" s="150" t="s"/>
    </row>
    <row r="33" spans="1:10">
      <c r="A33" s="141" t="s">
        <v>401</v>
      </c>
      <c r="B33" s="142" t="s">
        <v>204</v>
      </c>
      <c r="C33" s="172" t="s">
        <v>390</v>
      </c>
      <c r="E33" s="174" t="s">
        <v>305</v>
      </c>
      <c r="F33" s="132">
        <v>2</v>
      </c>
      <c r="G33" s="148" t="s">
        <v>402</v>
      </c>
      <c r="H33" s="149" t="s">
        <v>403</v>
      </c>
      <c r="I33" s="158" t="s">
        <v>404</v>
      </c>
      <c r="J33" s="176" t="s">
        <v>290</v>
      </c>
    </row>
    <row r="34" spans="1:10" ht="16.5" customHeight="1">
      <c r="A34" s="112" t="s"/>
      <c r="B34" s="113" t="s"/>
      <c r="C34" s="173" t="s">
        <v>372</v>
      </c>
      <c r="E34" s="174" t="s">
        <v>291</v>
      </c>
      <c r="F34" s="132">
        <v>4</v>
      </c>
      <c r="G34" s="148" t="s">
        <v>405</v>
      </c>
      <c r="H34" s="149" t="s">
        <v>406</v>
      </c>
      <c r="I34" s="148" t="s">
        <v>407</v>
      </c>
      <c r="J34" s="150" t="s">
        <v>127</v>
      </c>
    </row>
    <row r="35" spans="1:10">
      <c r="A35" s="121" t="s"/>
      <c r="B35" s="122" t="s"/>
      <c r="C35" s="130" t="s">
        <v>347</v>
      </c>
      <c r="E35" s="174" t="s">
        <v>372</v>
      </c>
      <c r="F35" s="132">
        <v>6</v>
      </c>
      <c r="G35" s="148" t="s">
        <v>408</v>
      </c>
      <c r="H35" s="149" t="s">
        <v>409</v>
      </c>
      <c r="I35" s="148" t="s">
        <v>410</v>
      </c>
      <c r="J35" s="150" t="s">
        <v>48</v>
      </c>
    </row>
    <row r="36" spans="1:10">
      <c r="A36" s="121" t="s"/>
      <c r="B36" s="122" t="s"/>
      <c r="C36" s="130" t="s">
        <v>411</v>
      </c>
      <c r="E36" s="174" t="s">
        <v>347</v>
      </c>
      <c r="F36" s="132">
        <v>5</v>
      </c>
      <c r="G36" s="148" t="s">
        <v>412</v>
      </c>
      <c r="H36" s="148" t="s"/>
      <c r="I36" s="148" t="s"/>
      <c r="J36" s="150" t="s"/>
    </row>
    <row r="37" spans="1:10">
      <c r="A37" s="121" t="s"/>
      <c r="B37" s="122" t="s"/>
      <c r="C37" s="130" t="s">
        <v>368</v>
      </c>
      <c r="E37" s="174" t="s">
        <v>411</v>
      </c>
      <c r="F37" s="132">
        <v>5</v>
      </c>
      <c r="G37" s="148" t="s">
        <v>413</v>
      </c>
      <c r="H37" s="149" t="s">
        <v>414</v>
      </c>
      <c r="I37" s="148" t="s"/>
      <c r="J37" s="150" t="s"/>
    </row>
    <row r="38" spans="1:10">
      <c r="A38" s="121" t="s"/>
      <c r="B38" s="122" t="s"/>
      <c r="C38" s="130" t="s">
        <v>376</v>
      </c>
      <c r="E38" s="174" t="s">
        <v>309</v>
      </c>
      <c r="F38" s="171">
        <v>2</v>
      </c>
      <c r="G38" s="148" t="s">
        <v>402</v>
      </c>
      <c r="H38" s="163" t="s">
        <v>415</v>
      </c>
      <c r="I38" s="158" t="s">
        <v>416</v>
      </c>
      <c r="J38" s="150" t="s"/>
    </row>
    <row r="39" spans="1:10">
      <c r="A39" s="141" t="s">
        <v>205</v>
      </c>
      <c r="B39" s="142" t="s">
        <v>205</v>
      </c>
      <c r="C39" s="146" t="s">
        <v>314</v>
      </c>
      <c r="E39" s="174" t="s">
        <v>368</v>
      </c>
      <c r="F39" s="132">
        <v>4</v>
      </c>
      <c r="G39" s="148" t="s">
        <v>417</v>
      </c>
      <c r="H39" s="177" t="s">
        <v>418</v>
      </c>
      <c r="I39" s="148" t="s"/>
      <c r="J39" s="150" t="s"/>
    </row>
    <row r="40" spans="1:10" ht="16.5" customHeight="1">
      <c r="A40" s="112" t="s"/>
      <c r="B40" s="113" t="s"/>
      <c r="C40" s="151" t="s">
        <v>315</v>
      </c>
      <c r="E40" s="178" t="s">
        <v>376</v>
      </c>
      <c r="F40" s="179">
        <v>4</v>
      </c>
      <c r="G40" s="180" t="s">
        <v>419</v>
      </c>
      <c r="H40" s="181" t="s">
        <v>420</v>
      </c>
      <c r="I40" s="128" t="s"/>
      <c r="J40" s="129" t="s"/>
    </row>
    <row r="41" spans="1:3">
      <c r="A41" s="121" t="s"/>
      <c r="B41" s="122" t="s"/>
      <c r="C41" s="156" t="s">
        <v>319</v>
      </c>
    </row>
    <row r="42" spans="1:3">
      <c r="A42" s="121" t="s"/>
      <c r="B42" s="122" t="s"/>
      <c r="C42" s="156" t="s">
        <v>421</v>
      </c>
    </row>
    <row r="43" spans="1:3">
      <c r="A43" s="121" t="s"/>
      <c r="B43" s="122" t="s"/>
      <c r="C43" s="123" t="s">
        <v>380</v>
      </c>
    </row>
    <row r="44" spans="1:3">
      <c r="A44" s="121" t="s"/>
      <c r="B44" s="122" t="s"/>
      <c r="C44" s="123" t="s">
        <v>344</v>
      </c>
    </row>
    <row r="45" spans="1:3">
      <c r="A45" s="121" t="s"/>
      <c r="B45" s="122" t="s"/>
      <c r="C45" s="130" t="s">
        <v>422</v>
      </c>
    </row>
    <row r="46" spans="1:3">
      <c r="A46" s="121" t="s"/>
      <c r="B46" s="122" t="s"/>
      <c r="C46" s="182" t="s">
        <v>398</v>
      </c>
    </row>
    <row r="47" spans="1:3">
      <c r="A47" s="141" t="s">
        <v>423</v>
      </c>
      <c r="B47" s="142" t="s">
        <v>210</v>
      </c>
      <c r="C47" s="143" t="s">
        <v>275</v>
      </c>
    </row>
    <row r="48" spans="1:3" ht="16.5" customHeight="1">
      <c r="A48" s="112" t="s"/>
      <c r="B48" s="113" t="s"/>
      <c r="C48" s="114" t="s">
        <v>297</v>
      </c>
    </row>
    <row r="49" spans="1:3">
      <c r="A49" s="121" t="s"/>
      <c r="B49" s="122" t="s"/>
      <c r="C49" s="123" t="s">
        <v>301</v>
      </c>
    </row>
    <row r="50" spans="1:3">
      <c r="A50" s="121" t="s"/>
      <c r="B50" s="122" t="s"/>
      <c r="C50" s="123" t="s">
        <v>331</v>
      </c>
    </row>
    <row r="51" spans="1:3">
      <c r="A51" s="121" t="s"/>
      <c r="B51" s="122" t="s"/>
      <c r="C51" s="130" t="s">
        <v>285</v>
      </c>
    </row>
    <row r="52" spans="1:3">
      <c r="A52" s="141" t="s">
        <v>424</v>
      </c>
      <c r="B52" s="142" t="s">
        <v>215</v>
      </c>
      <c r="C52" s="143" t="s">
        <v>301</v>
      </c>
    </row>
    <row r="53" spans="1:3" ht="16.5" customHeight="1">
      <c r="A53" s="112" t="s"/>
      <c r="B53" s="113" t="s"/>
      <c r="C53" s="114" t="s">
        <v>359</v>
      </c>
    </row>
    <row r="54" spans="1:3">
      <c r="A54" s="121" t="s"/>
      <c r="B54" s="122" t="s"/>
      <c r="C54" s="130" t="s">
        <v>358</v>
      </c>
    </row>
    <row r="55" spans="1:3">
      <c r="A55" s="121" t="s"/>
      <c r="B55" s="122" t="s"/>
      <c r="C55" s="130" t="s">
        <v>363</v>
      </c>
    </row>
    <row r="56" spans="1:3">
      <c r="A56" s="121" t="s"/>
      <c r="B56" s="122" t="s"/>
      <c r="C56" s="130" t="s">
        <v>291</v>
      </c>
    </row>
    <row r="57" spans="1:3">
      <c r="A57" s="121" t="s"/>
      <c r="B57" s="122" t="s"/>
      <c r="C57" s="130" t="s">
        <v>411</v>
      </c>
    </row>
    <row r="58" spans="1:3">
      <c r="A58" s="141" t="s">
        <v>425</v>
      </c>
      <c r="B58" s="142" t="s">
        <v>217</v>
      </c>
      <c r="C58" s="143" t="s">
        <v>331</v>
      </c>
    </row>
    <row r="59" spans="1:3" ht="16.5" customHeight="1">
      <c r="A59" s="112" t="s"/>
      <c r="B59" s="113" t="s"/>
      <c r="C59" s="173" t="s">
        <v>363</v>
      </c>
    </row>
    <row r="60" spans="1:3">
      <c r="A60" s="141" t="s">
        <v>231</v>
      </c>
      <c r="B60" s="142" t="s">
        <v>231</v>
      </c>
      <c r="C60" s="146" t="s">
        <v>426</v>
      </c>
    </row>
    <row r="61" spans="1:3">
      <c r="A61" s="112" t="s"/>
      <c r="B61" s="113" t="s"/>
      <c r="C61" s="151" t="s">
        <v>421</v>
      </c>
    </row>
    <row r="62" spans="1:3">
      <c r="A62" s="121" t="s"/>
      <c r="B62" s="122" t="s"/>
      <c r="C62" s="156" t="s">
        <v>319</v>
      </c>
    </row>
    <row r="63" spans="1:3">
      <c r="A63" s="121" t="s"/>
      <c r="B63" s="122" t="s"/>
      <c r="C63" s="123" t="s">
        <v>275</v>
      </c>
    </row>
    <row r="64" spans="1:3">
      <c r="A64" s="121" t="s"/>
      <c r="B64" s="122" t="s"/>
      <c r="C64" s="123" t="s">
        <v>278</v>
      </c>
    </row>
    <row r="65" spans="1:3">
      <c r="A65" s="121" t="s"/>
      <c r="B65" s="122" t="s"/>
      <c r="C65" s="123" t="s">
        <v>283</v>
      </c>
    </row>
    <row r="66" spans="1:3">
      <c r="A66" s="121" t="s"/>
      <c r="B66" s="122" t="s"/>
      <c r="C66" s="123" t="s">
        <v>343</v>
      </c>
    </row>
    <row r="67" spans="1:3">
      <c r="A67" s="121" t="s"/>
      <c r="B67" s="122" t="s"/>
      <c r="C67" s="130" t="s">
        <v>390</v>
      </c>
    </row>
    <row r="68" spans="1:3">
      <c r="A68" s="121" t="s"/>
      <c r="B68" s="122" t="s"/>
      <c r="C68" s="130" t="s">
        <v>398</v>
      </c>
    </row>
    <row r="69" spans="1:3">
      <c r="A69" s="121" t="s"/>
      <c r="B69" s="122" t="s"/>
      <c r="C69" s="130" t="s">
        <v>347</v>
      </c>
    </row>
    <row r="70" spans="1:3">
      <c r="A70" s="183" t="s">
        <v>427</v>
      </c>
      <c r="B70" s="184" t="s">
        <v>428</v>
      </c>
      <c r="C70" s="146" t="s">
        <v>314</v>
      </c>
    </row>
    <row r="71" spans="1:3" ht="16.5" customHeight="1">
      <c r="A71" s="112" t="s"/>
      <c r="B71" s="113" t="s"/>
      <c r="C71" s="151" t="s">
        <v>306</v>
      </c>
    </row>
    <row r="72" spans="1:3" ht="14" customHeight="1">
      <c r="A72" s="121" t="s"/>
      <c r="B72" s="122" t="s"/>
      <c r="C72" s="156" t="s">
        <v>310</v>
      </c>
    </row>
    <row r="73" spans="1:3" ht="14" customHeight="1">
      <c r="A73" s="121" t="s"/>
      <c r="B73" s="122" t="s"/>
      <c r="C73" s="123" t="s">
        <v>352</v>
      </c>
    </row>
    <row r="74" spans="1:3" ht="14" customHeight="1">
      <c r="A74" s="121" t="s"/>
      <c r="B74" s="122" t="s"/>
      <c r="C74" s="123" t="s">
        <v>373</v>
      </c>
    </row>
    <row r="75" spans="1:3" ht="14" customHeight="1">
      <c r="A75" s="141" t="s">
        <v>429</v>
      </c>
      <c r="B75" s="142" t="s">
        <v>218</v>
      </c>
      <c r="C75" s="172" t="s">
        <v>398</v>
      </c>
    </row>
    <row r="76" spans="1:3" ht="16.5" customHeight="1">
      <c r="A76" s="185" t="s"/>
      <c r="B76" s="186" t="s"/>
      <c r="C76" s="173" t="s">
        <v>372</v>
      </c>
    </row>
    <row r="77" spans="1:3">
      <c r="A77" s="187" t="s"/>
      <c r="B77" s="188" t="s"/>
      <c r="C77" s="130" t="s">
        <v>411</v>
      </c>
    </row>
    <row r="78" spans="1:3">
      <c r="A78" s="187" t="s"/>
      <c r="B78" s="188" t="s"/>
      <c r="C78" s="130" t="s">
        <v>376</v>
      </c>
    </row>
    <row r="79" spans="1:3">
      <c r="A79" s="189" t="s">
        <v>430</v>
      </c>
      <c r="B79" s="190" t="s">
        <v>221</v>
      </c>
      <c r="C79" s="191" t="s">
        <v>426</v>
      </c>
    </row>
    <row r="80" spans="1:3">
      <c r="A80" s="112" t="s"/>
      <c r="B80" s="113" t="s"/>
      <c r="C80" s="151" t="s">
        <v>318</v>
      </c>
    </row>
    <row r="81" spans="1:3" ht="14" customHeight="1">
      <c r="A81" s="121" t="s"/>
      <c r="B81" s="122" t="s"/>
      <c r="C81" s="156" t="s">
        <v>315</v>
      </c>
    </row>
    <row r="82" spans="1:3" ht="14" customHeight="1">
      <c r="A82" s="121" t="s"/>
      <c r="B82" s="122" t="s"/>
      <c r="C82" s="130" t="s">
        <v>372</v>
      </c>
    </row>
    <row r="83" spans="1:3" ht="14" customHeight="1">
      <c r="A83" s="141" t="s">
        <v>431</v>
      </c>
      <c r="B83" s="142" t="s">
        <v>222</v>
      </c>
      <c r="C83" s="146" t="s">
        <v>426</v>
      </c>
    </row>
    <row r="84" spans="1:3" ht="16.5" customHeight="1">
      <c r="A84" s="112" t="s"/>
      <c r="B84" s="113" t="s"/>
      <c r="C84" s="151" t="s">
        <v>421</v>
      </c>
    </row>
    <row r="85" spans="1:3">
      <c r="A85" s="121" t="s"/>
      <c r="B85" s="122" t="s"/>
      <c r="C85" s="130" t="s">
        <v>363</v>
      </c>
    </row>
    <row r="86" spans="1:3">
      <c r="A86" s="121" t="s"/>
      <c r="B86" s="122" t="s"/>
      <c r="C86" s="130" t="s">
        <v>291</v>
      </c>
    </row>
    <row r="87" spans="1:3">
      <c r="A87" s="121" t="s"/>
      <c r="B87" s="122" t="s"/>
      <c r="C87" s="130" t="s">
        <v>372</v>
      </c>
    </row>
    <row r="88" spans="1:3">
      <c r="A88" s="141" t="s">
        <v>432</v>
      </c>
      <c r="B88" s="142" t="s">
        <v>227</v>
      </c>
      <c r="C88" s="146" t="s">
        <v>319</v>
      </c>
    </row>
    <row r="89" spans="1:3" ht="16.5" customHeight="1">
      <c r="A89" s="112" t="s"/>
      <c r="B89" s="113" t="s"/>
      <c r="C89" s="114" t="s">
        <v>343</v>
      </c>
    </row>
    <row r="90" spans="1:3">
      <c r="A90" s="141" t="s">
        <v>433</v>
      </c>
      <c r="B90" s="142" t="s">
        <v>267</v>
      </c>
      <c r="C90" s="172" t="s">
        <v>390</v>
      </c>
    </row>
    <row r="91" spans="1:3" ht="16.5" customHeight="1">
      <c r="A91" s="112" t="s"/>
      <c r="B91" s="113" t="s"/>
      <c r="C91" s="173" t="s">
        <v>358</v>
      </c>
    </row>
    <row r="92" spans="1:3" ht="16.5" customHeight="1">
      <c r="A92" s="121" t="s"/>
      <c r="B92" s="122" t="s"/>
      <c r="C92" s="130" t="s">
        <v>363</v>
      </c>
    </row>
    <row r="93" spans="1:3">
      <c r="A93" s="121" t="s"/>
      <c r="B93" s="122" t="s"/>
      <c r="C93" s="130" t="s">
        <v>422</v>
      </c>
    </row>
    <row r="94" spans="1:3">
      <c r="A94" s="121" t="s"/>
      <c r="B94" s="122" t="s"/>
      <c r="C94" s="130" t="s">
        <v>398</v>
      </c>
    </row>
    <row r="95" spans="1:3">
      <c r="A95" s="141" t="s">
        <v>258</v>
      </c>
      <c r="B95" s="142" t="s">
        <v>258</v>
      </c>
      <c r="C95" s="172" t="s">
        <v>422</v>
      </c>
    </row>
    <row r="96" spans="1:3">
      <c r="A96" s="112" t="s"/>
      <c r="B96" s="113" t="s"/>
      <c r="C96" s="173" t="s">
        <v>285</v>
      </c>
    </row>
    <row r="97" spans="1:3">
      <c r="A97" s="121" t="s"/>
      <c r="B97" s="122" t="s"/>
      <c r="C97" s="130" t="s">
        <v>394</v>
      </c>
    </row>
    <row r="98" spans="1:3">
      <c r="A98" s="141" t="s">
        <v>434</v>
      </c>
      <c r="B98" s="184" t="s">
        <v>435</v>
      </c>
      <c r="C98" s="146" t="s">
        <v>310</v>
      </c>
    </row>
    <row r="99" spans="1:3">
      <c r="A99" s="112" t="s"/>
      <c r="B99" s="113" t="s"/>
      <c r="C99" s="192" t="s">
        <v>319</v>
      </c>
    </row>
    <row r="100" spans="1:3">
      <c r="A100" s="121" t="s"/>
      <c r="B100" s="122" t="s"/>
      <c r="C100" s="193" t="s">
        <v>343</v>
      </c>
    </row>
    <row r="101" spans="1:3">
      <c r="A101" s="121" t="s"/>
      <c r="B101" s="122" t="s"/>
      <c r="C101" s="130" t="s">
        <v>394</v>
      </c>
    </row>
    <row r="102" spans="1:3">
      <c r="A102" s="141" t="s">
        <v>436</v>
      </c>
      <c r="B102" s="142" t="s">
        <v>257</v>
      </c>
      <c r="C102" s="143" t="s">
        <v>297</v>
      </c>
    </row>
    <row r="103" spans="1:3">
      <c r="A103" s="112" t="s"/>
      <c r="B103" s="113" t="s"/>
      <c r="C103" s="114" t="s">
        <v>359</v>
      </c>
    </row>
    <row r="104" spans="1:3">
      <c r="A104" s="121" t="s"/>
      <c r="B104" s="122" t="s"/>
      <c r="C104" s="130" t="s">
        <v>394</v>
      </c>
    </row>
    <row r="105" spans="1:3">
      <c r="A105" s="141" t="s">
        <v>437</v>
      </c>
      <c r="B105" s="184" t="s">
        <v>438</v>
      </c>
      <c r="C105" s="172" t="s">
        <v>398</v>
      </c>
    </row>
    <row r="106" spans="1:3">
      <c r="A106" s="112" t="s"/>
      <c r="B106" s="113" t="s"/>
      <c r="C106" s="173" t="s">
        <v>291</v>
      </c>
    </row>
    <row r="107" spans="1:3">
      <c r="A107" s="121" t="s"/>
      <c r="B107" s="122" t="s"/>
      <c r="C107" s="130" t="s">
        <v>411</v>
      </c>
    </row>
    <row r="108" spans="1:3">
      <c r="A108" s="141" t="s">
        <v>439</v>
      </c>
      <c r="B108" s="142" t="s">
        <v>261</v>
      </c>
      <c r="C108" s="172" t="s">
        <v>390</v>
      </c>
    </row>
    <row r="109" spans="1:3">
      <c r="A109" s="112" t="s"/>
      <c r="B109" s="113" t="s"/>
      <c r="C109" s="173" t="s">
        <v>398</v>
      </c>
    </row>
    <row r="110" spans="1:3">
      <c r="A110" s="121" t="s"/>
      <c r="B110" s="122" t="s"/>
      <c r="C110" s="130" t="s">
        <v>347</v>
      </c>
    </row>
    <row r="111" spans="1:3">
      <c r="A111" s="121" t="s"/>
      <c r="B111" s="122" t="s"/>
      <c r="C111" s="130" t="s">
        <v>411</v>
      </c>
    </row>
    <row r="112" spans="1:3">
      <c r="A112" s="141" t="s">
        <v>252</v>
      </c>
      <c r="B112" s="142" t="s">
        <v>252</v>
      </c>
      <c r="C112" s="146" t="s">
        <v>318</v>
      </c>
    </row>
    <row r="113" spans="1:3">
      <c r="A113" s="112" t="s"/>
      <c r="B113" s="113" t="s"/>
      <c r="C113" s="151" t="s">
        <v>306</v>
      </c>
    </row>
    <row r="114" spans="1:3">
      <c r="A114" s="121" t="s"/>
      <c r="B114" s="122" t="s"/>
      <c r="C114" s="156" t="s">
        <v>310</v>
      </c>
    </row>
    <row r="115" spans="1:3">
      <c r="A115" s="121" t="s"/>
      <c r="B115" s="122" t="s"/>
      <c r="C115" s="130" t="s">
        <v>422</v>
      </c>
    </row>
    <row r="116" spans="1:3">
      <c r="A116" s="141" t="s">
        <v>249</v>
      </c>
      <c r="B116" s="142" t="s">
        <v>249</v>
      </c>
      <c r="C116" s="143" t="s">
        <v>278</v>
      </c>
    </row>
    <row r="117" spans="1:3">
      <c r="A117" s="185" t="s"/>
      <c r="B117" s="186" t="s"/>
      <c r="C117" s="173" t="s">
        <v>358</v>
      </c>
    </row>
    <row r="118" spans="1:3">
      <c r="A118" s="187" t="s"/>
      <c r="B118" s="188" t="s"/>
      <c r="C118" s="130" t="s">
        <v>368</v>
      </c>
    </row>
    <row r="119" spans="1:3">
      <c r="A119" s="189" t="s">
        <v>440</v>
      </c>
      <c r="B119" s="190" t="s">
        <v>441</v>
      </c>
      <c r="C119" s="194" t="s">
        <v>358</v>
      </c>
    </row>
    <row r="120" spans="1:3">
      <c r="A120" s="185" t="s"/>
      <c r="B120" s="186" t="s"/>
      <c r="C120" s="173" t="s">
        <v>368</v>
      </c>
    </row>
    <row r="121" spans="1:3">
      <c r="A121" s="189" t="s">
        <v>442</v>
      </c>
      <c r="B121" s="190" t="s">
        <v>244</v>
      </c>
      <c r="C121" s="104" t="s">
        <v>301</v>
      </c>
    </row>
    <row r="122" spans="1:3">
      <c r="A122" s="195" t="s"/>
      <c r="B122" s="196" t="s"/>
      <c r="C122" s="114" t="s">
        <v>359</v>
      </c>
    </row>
    <row r="123" spans="1:3">
      <c r="A123" s="197" t="s"/>
      <c r="B123" s="198" t="s"/>
      <c r="C123" s="130" t="s">
        <v>305</v>
      </c>
    </row>
    <row r="124" spans="1:3">
      <c r="A124" s="197" t="s"/>
      <c r="B124" s="198" t="s"/>
      <c r="C124" s="199" t="s">
        <v>309</v>
      </c>
    </row>
    <row r="125" spans="1:3">
      <c r="A125" s="200" t="s">
        <v>443</v>
      </c>
      <c r="B125" s="201" t="s">
        <v>444</v>
      </c>
      <c r="C125" s="191" t="s">
        <v>314</v>
      </c>
    </row>
    <row r="126" spans="1:3" ht="16.5">
      <c r="A126" s="202" t="s"/>
      <c r="B126" s="203" t="s"/>
      <c r="C126" s="204" t="s">
        <v>306</v>
      </c>
    </row>
    <row r="127" spans="1:3" ht="16.5" customHeight="1">
      <c r="A127" s="205" t="s"/>
      <c r="B127" s="206" t="s"/>
      <c r="C127" s="193" t="s">
        <v>351</v>
      </c>
    </row>
    <row r="128" spans="1:3">
      <c r="A128" s="205" t="s"/>
      <c r="B128" s="206" t="s"/>
      <c r="C128" s="193" t="s">
        <v>352</v>
      </c>
    </row>
    <row r="129" spans="1:3">
      <c r="A129" s="207" t="s">
        <v>445</v>
      </c>
      <c r="B129" s="208" t="s">
        <v>250</v>
      </c>
      <c r="C129" s="104" t="s">
        <v>275</v>
      </c>
    </row>
    <row r="130" spans="1:3" ht="16.5" customHeight="1">
      <c r="A130" s="209" t="s"/>
      <c r="B130" s="210" t="s"/>
      <c r="C130" s="211" t="s">
        <v>278</v>
      </c>
    </row>
    <row r="131" spans="1:3" ht="16.5" customHeight="1">
      <c r="A131" s="187" t="s"/>
      <c r="B131" s="188" t="s"/>
      <c r="C131" s="193" t="s">
        <v>283</v>
      </c>
    </row>
    <row r="132" spans="1:3" ht="16.5" customHeight="1">
      <c r="A132" s="187" t="s"/>
      <c r="B132" s="188" t="s"/>
      <c r="C132" s="193" t="s">
        <v>344</v>
      </c>
    </row>
    <row r="133" spans="1:3" ht="14.25" customHeight="1">
      <c r="A133" s="187" t="s"/>
      <c r="B133" s="188" t="s"/>
      <c r="C133" s="193" t="s">
        <v>359</v>
      </c>
    </row>
    <row r="134" spans="1:3" ht="16.5" customHeight="1">
      <c r="A134" s="187" t="s"/>
      <c r="B134" s="188" t="s"/>
      <c r="C134" s="212" t="s">
        <v>372</v>
      </c>
    </row>
    <row r="135" spans="1:3" ht="16.5" customHeight="1">
      <c r="A135" s="189" t="s">
        <v>446</v>
      </c>
      <c r="B135" s="190" t="s">
        <v>251</v>
      </c>
      <c r="C135" s="213" t="s">
        <v>314</v>
      </c>
    </row>
    <row r="136" spans="1:3" ht="16.5" customHeight="1">
      <c r="A136" s="214" t="s"/>
      <c r="B136" s="215" t="s"/>
      <c r="C136" s="216" t="s">
        <v>315</v>
      </c>
    </row>
    <row r="137" spans="1:3" ht="16.5" customHeight="1">
      <c r="A137" s="217" t="s"/>
      <c r="B137" s="218" t="s"/>
      <c r="C137" s="219" t="s">
        <v>344</v>
      </c>
    </row>
    <row r="138" spans="1:3" ht="16.5" customHeight="1">
      <c r="A138" s="220" t="s">
        <v>447</v>
      </c>
      <c r="B138" s="221" t="s">
        <v>448</v>
      </c>
      <c r="C138" s="222" t="s">
        <v>373</v>
      </c>
    </row>
    <row r="139" spans="1:3">
      <c r="A139" s="223" t="s">
        <v>449</v>
      </c>
      <c r="B139" s="224" t="s">
        <v>449</v>
      </c>
      <c r="C139" s="225" t="s">
        <v>376</v>
      </c>
    </row>
  </sheetData>
  <mergeCells count="66">
    <mergeCell ref="E3:E4"/>
    <mergeCell ref="G3:G4"/>
    <mergeCell ref="H3:H4"/>
    <mergeCell ref="F3:F4"/>
    <mergeCell ref="A2:A6"/>
    <mergeCell ref="B2:B6"/>
    <mergeCell ref="A7:A10"/>
    <mergeCell ref="B7:B10"/>
    <mergeCell ref="A11:A16"/>
    <mergeCell ref="B11:B16"/>
    <mergeCell ref="A17:A19"/>
    <mergeCell ref="B17:B19"/>
    <mergeCell ref="A20:A24"/>
    <mergeCell ref="B20:B24"/>
    <mergeCell ref="A25:A26"/>
    <mergeCell ref="B25:B26"/>
    <mergeCell ref="A27:A32"/>
    <mergeCell ref="B27:B32"/>
    <mergeCell ref="A33:A38"/>
    <mergeCell ref="B33:B38"/>
    <mergeCell ref="A39:A46"/>
    <mergeCell ref="B39:B46"/>
    <mergeCell ref="A47:A51"/>
    <mergeCell ref="B47:B51"/>
    <mergeCell ref="A52:A57"/>
    <mergeCell ref="B52:B57"/>
    <mergeCell ref="A58:A59"/>
    <mergeCell ref="B58:B59"/>
    <mergeCell ref="A60:A69"/>
    <mergeCell ref="B60:B69"/>
    <mergeCell ref="A70:A74"/>
    <mergeCell ref="B70:B74"/>
    <mergeCell ref="A75:A78"/>
    <mergeCell ref="B75:B78"/>
    <mergeCell ref="A79:A82"/>
    <mergeCell ref="B79:B82"/>
    <mergeCell ref="A83:A87"/>
    <mergeCell ref="B83:B87"/>
    <mergeCell ref="A88:A89"/>
    <mergeCell ref="B88:B89"/>
    <mergeCell ref="A90:A94"/>
    <mergeCell ref="B90:B94"/>
    <mergeCell ref="A95:A97"/>
    <mergeCell ref="B95:B97"/>
    <mergeCell ref="A98:A101"/>
    <mergeCell ref="B98:B101"/>
    <mergeCell ref="A102:A104"/>
    <mergeCell ref="B102:B104"/>
    <mergeCell ref="A105:A107"/>
    <mergeCell ref="B105:B107"/>
    <mergeCell ref="A108:A111"/>
    <mergeCell ref="B108:B111"/>
    <mergeCell ref="A112:A115"/>
    <mergeCell ref="B112:B115"/>
    <mergeCell ref="A116:A118"/>
    <mergeCell ref="B116:B118"/>
    <mergeCell ref="A119:A120"/>
    <mergeCell ref="B119:B120"/>
    <mergeCell ref="A121:A124"/>
    <mergeCell ref="B121:B124"/>
    <mergeCell ref="A125:A128"/>
    <mergeCell ref="B125:B128"/>
    <mergeCell ref="A129:A134"/>
    <mergeCell ref="B129:B134"/>
    <mergeCell ref="A135:A137"/>
    <mergeCell ref="B135:B137"/>
  </mergeCells>
  <hyperlinks>
    <hyperlink ref="I3" r:id="rId3"/>
  </hyperlinks>
  <pageMargins left="0.7" right="0.7" top="0.75" bottom="0.75" header="0.3" footer="0.3"/>
  <legacyDrawing r:id="rId2"/>
</worksheet>
</file>

<file path=xl/worksheets/sheet4.xml><?xml version="1.0" encoding="utf-8"?>
<worksheet xmlns="http://schemas.openxmlformats.org/spreadsheetml/2006/main">
  <sheetPr codeName="关卡统计（透视表用）"/>
  <dimension ref="Z200"/>
  <sheetViews>
    <sheetView showGridLines="1" workbookViewId="0">
      <pane ySplit="1" topLeftCell="A2" state="frozen"/>
    </sheetView>
  </sheetViews>
  <sheetFormatPr baseColWidth="8" defaultRowHeight="14"/>
  <cols>
    <col min="1" max="1" width="8.46094" style="36" customWidth="1"/>
    <col min="2" max="2" width="11.8906" style="36" customWidth="1"/>
    <col min="3" max="3" width="8.46094" style="159" customWidth="1"/>
    <col min="4" max="4" width="8.60938" style="231"/>
    <col min="5" max="5" width="8.75" style="159" bestFit="1" customWidth="1"/>
    <col min="6" max="6" width="10.6914" style="36" bestFit="1" customWidth="1"/>
    <col min="7" max="7" width="37.0703" style="159" customWidth="1"/>
    <col min="8" max="8" width="17.0508" style="159" bestFit="1" customWidth="1"/>
    <col min="9" max="10" width="5.08203" style="159" bestFit="1" customWidth="1"/>
    <col min="11" max="14" width="4.08203" style="159" bestFit="1" customWidth="1"/>
    <col min="15" max="18" width="5.08203" style="159" bestFit="1" customWidth="1"/>
    <col min="19" max="19" width="4.08203" style="159" bestFit="1" customWidth="1"/>
    <col min="20" max="24" width="5.08203" style="159" bestFit="1" customWidth="1"/>
  </cols>
  <sheetData>
    <row r="1" spans="1:8" ht="15.75" customHeight="1">
      <c r="A1" s="226" t="s">
        <v>184</v>
      </c>
      <c r="B1" s="226" t="s">
        <v>5</v>
      </c>
      <c r="C1" s="227" t="s">
        <v>271</v>
      </c>
      <c r="E1" s="228" t="str">
        <v>关卡</v>
      </c>
      <c r="F1" s="229" t="str">
        <v>计数项:材料</v>
      </c>
      <c r="G1" s="230" t="s">
        <v>273</v>
      </c>
      <c r="H1" s="231" t="s">
        <v>274</v>
      </c>
    </row>
    <row r="2" spans="1:8" ht="15.75" customHeight="1">
      <c r="A2" s="232" t="s">
        <v>229</v>
      </c>
      <c r="B2" s="232" t="s">
        <v>229</v>
      </c>
      <c r="C2" s="233" t="s">
        <v>275</v>
      </c>
      <c r="E2" s="234" t="str">
        <v>3-17</v>
      </c>
      <c r="F2" s="229">
        <v>6</v>
      </c>
      <c r="G2" s="235" t="str">
        <f t="array" ref="G2">=_xlfn.TEXTJOIN("、",TRUE,_xlfn._xlws.FILTER($B$2:$B$200,$C$2:$C$200=E2))</f>
        <v>大豆、水、サンゴ、真珠貝、カニのはさみ、昆布</v>
      </c>
      <c r="H2" s="231" t="s"/>
    </row>
    <row r="3" spans="1:8" ht="15.75" customHeight="1">
      <c r="A3" s="236" t="s">
        <v>229</v>
      </c>
      <c r="B3" s="236" t="s">
        <v>229</v>
      </c>
      <c r="C3" s="233" t="s">
        <v>278</v>
      </c>
      <c r="E3" s="234" t="str">
        <v>3-7</v>
      </c>
      <c r="F3" s="229">
        <v>6</v>
      </c>
      <c r="G3" s="235" t="str">
        <f t="array" ref="G3">=_xlfn.TEXTJOIN("、",TRUE,_xlfn._xlws.FILTER($B$2:$B$200,$C$2:$C$200=E3))</f>
        <v>鉄、お米、みかげ石、お花、桃、真珠貝</v>
      </c>
      <c r="H3" s="231" t="s"/>
    </row>
    <row r="4" spans="1:8" ht="15.75" customHeight="1">
      <c r="A4" s="236" t="s">
        <v>229</v>
      </c>
      <c r="B4" s="236" t="s">
        <v>229</v>
      </c>
      <c r="C4" s="233" t="s">
        <v>283</v>
      </c>
      <c r="E4" s="237" t="str">
        <v>3-24</v>
      </c>
      <c r="F4" s="238">
        <v>6</v>
      </c>
      <c r="G4" s="239" t="str">
        <f t="array" ref="G4">=_xlfn.TEXTJOIN("、",TRUE,_xlfn._xlws.FILTER($B$2:$B$200,$C$2:$C$200=E4))</f>
        <v>ウロコ、塩、サンゴ、葉っぱ、桃、お魚</v>
      </c>
      <c r="H4" s="231" t="s"/>
    </row>
    <row r="5" spans="1:8" ht="15.75" customHeight="1">
      <c r="A5" s="236" t="s">
        <v>229</v>
      </c>
      <c r="B5" s="236" t="s">
        <v>229</v>
      </c>
      <c r="C5" s="233" t="s">
        <v>285</v>
      </c>
      <c r="E5" s="240" t="str">
        <v>3-4</v>
      </c>
      <c r="F5" s="241">
        <v>5</v>
      </c>
      <c r="G5" s="242" t="str">
        <f t="array" ref="G5">=_xlfn.TEXTJOIN("、",TRUE,_xlfn._xlws.FILTER($B$2:$B$200,$C$2:$C$200=E5))</f>
        <v>鉄、みかげ石、真珠貝、油、ネジ</v>
      </c>
      <c r="H5" s="231" t="s"/>
    </row>
    <row r="6" spans="1:7" ht="15.75" customHeight="1">
      <c r="A6" s="236" t="s">
        <v>229</v>
      </c>
      <c r="B6" s="236" t="s">
        <v>229</v>
      </c>
      <c r="C6" s="233" t="s">
        <v>291</v>
      </c>
      <c r="E6" s="240" t="str">
        <v>1-12</v>
      </c>
      <c r="F6" s="241">
        <v>5</v>
      </c>
      <c r="G6" s="242" t="str">
        <f t="array" ref="G6">=_xlfn.TEXTJOIN("、",TRUE,_xlfn._xlws.FILTER($B$2:$B$200,$C$2:$C$200=E6))</f>
        <v>丸太、獣の牙、ふさふさの毛、トラの毛皮、麦</v>
      </c>
    </row>
    <row r="7" spans="1:7" ht="15.75" customHeight="1">
      <c r="A7" s="243" t="s">
        <v>296</v>
      </c>
      <c r="B7" s="243" t="s">
        <v>194</v>
      </c>
      <c r="C7" s="233" t="s">
        <v>297</v>
      </c>
      <c r="E7" s="234" t="str">
        <v>3-26</v>
      </c>
      <c r="F7" s="229">
        <v>5</v>
      </c>
      <c r="G7" s="235" t="str">
        <f t="array" ref="G7">=_xlfn.TEXTJOIN("、",TRUE,_xlfn._xlws.FILTER($B$2:$B$200,$C$2:$C$200=E7))</f>
        <v>獣の牙、お米、塩、水、昆布</v>
      </c>
    </row>
    <row r="8" spans="1:7" ht="15.75" customHeight="1">
      <c r="A8" s="244" t="s">
        <v>296</v>
      </c>
      <c r="B8" s="244" t="s">
        <v>194</v>
      </c>
      <c r="C8" s="233" t="s">
        <v>301</v>
      </c>
      <c r="E8" s="234" t="str">
        <v>3-2</v>
      </c>
      <c r="F8" s="229">
        <v>5</v>
      </c>
      <c r="G8" s="235" t="str">
        <f t="array" ref="G8">=_xlfn.TEXTJOIN("、",TRUE,_xlfn._xlws.FILTER($B$2:$B$200,$C$2:$C$200=E8))</f>
        <v>お米、塩、水、真珠貝、昆布</v>
      </c>
    </row>
    <row r="9" spans="1:7" ht="15.75" customHeight="1">
      <c r="A9" s="244" t="s">
        <v>296</v>
      </c>
      <c r="B9" s="244" t="s">
        <v>194</v>
      </c>
      <c r="C9" s="233" t="s">
        <v>305</v>
      </c>
      <c r="E9" s="237" t="str">
        <v>1-4</v>
      </c>
      <c r="F9" s="238">
        <v>5</v>
      </c>
      <c r="G9" s="239" t="str">
        <f t="array" ref="G9">=_xlfn.TEXTJOIN("、",TRUE,_xlfn._xlws.FILTER($B$2:$B$200,$C$2:$C$200=E9))</f>
        <v>丸太、大豆、ふさふさの毛、骨付き肉、卵</v>
      </c>
    </row>
    <row r="10" spans="1:7" ht="15.75" customHeight="1">
      <c r="A10" s="244" t="s">
        <v>296</v>
      </c>
      <c r="B10" s="244" t="s">
        <v>194</v>
      </c>
      <c r="C10" s="233" t="s">
        <v>309</v>
      </c>
      <c r="E10" s="234" t="str">
        <v>3-29</v>
      </c>
      <c r="F10" s="229">
        <v>5</v>
      </c>
      <c r="G10" s="235" t="str">
        <f t="array" ref="G10">=_xlfn.TEXTJOIN("、",TRUE,_xlfn._xlws.FILTER($B$2:$B$200,$C$2:$C$200=E10))</f>
        <v>塩、みかげ石、サンゴ、カニのはさみ、昆布</v>
      </c>
    </row>
    <row r="11" spans="1:7" ht="15.75" customHeight="1">
      <c r="A11" s="245" t="s">
        <v>313</v>
      </c>
      <c r="B11" s="245" t="s">
        <v>198</v>
      </c>
      <c r="C11" s="233" t="s">
        <v>314</v>
      </c>
      <c r="E11" s="234" t="str">
        <v>2-12</v>
      </c>
      <c r="F11" s="229">
        <v>5</v>
      </c>
      <c r="G11" s="235" t="str">
        <f t="array" ref="G11">=_xlfn.TEXTJOIN("、",TRUE,_xlfn._xlws.FILTER($B$2:$B$200,$C$2:$C$200=E11))</f>
        <v>鉄、お米、大豆、お魚、卵</v>
      </c>
    </row>
    <row r="12" spans="1:7" ht="15.75" customHeight="1">
      <c r="A12" s="245" t="s">
        <v>313</v>
      </c>
      <c r="B12" s="245" t="s">
        <v>198</v>
      </c>
      <c r="C12" s="233" t="s">
        <v>318</v>
      </c>
      <c r="E12" s="234" t="str">
        <v>3-12</v>
      </c>
      <c r="F12" s="229">
        <v>4</v>
      </c>
      <c r="G12" s="235" t="str">
        <f t="array" ref="G12">=_xlfn.TEXTJOIN("、",TRUE,_xlfn._xlws.FILTER($B$2:$B$200,$C$2:$C$200=E12))</f>
        <v>粘土、丸太、木の枝、手旗</v>
      </c>
    </row>
    <row r="13" spans="1:7" ht="15.75" customHeight="1">
      <c r="A13" s="245" t="s">
        <v>313</v>
      </c>
      <c r="B13" s="245" t="s">
        <v>198</v>
      </c>
      <c r="C13" s="233" t="s">
        <v>310</v>
      </c>
      <c r="E13" s="234" t="str">
        <v>2-24</v>
      </c>
      <c r="F13" s="229">
        <v>4</v>
      </c>
      <c r="G13" s="235" t="str">
        <f t="array" ref="G13">=_xlfn.TEXTJOIN("、",TRUE,_xlfn._xlws.FILTER($B$2:$B$200,$C$2:$C$200=E13))</f>
        <v>みかげ石、サイコロ、ろうそく、お魚</v>
      </c>
    </row>
    <row r="14" spans="1:7" ht="15.75" customHeight="1">
      <c r="A14" s="245" t="s">
        <v>313</v>
      </c>
      <c r="B14" s="245" t="s">
        <v>198</v>
      </c>
      <c r="C14" s="233" t="s">
        <v>297</v>
      </c>
      <c r="E14" s="234" t="str">
        <v>2-7</v>
      </c>
      <c r="F14" s="229">
        <v>4</v>
      </c>
      <c r="G14" s="235" t="str">
        <f t="array" ref="G14">=_xlfn.TEXTJOIN("、",TRUE,_xlfn._xlws.FILTER($B$2:$B$200,$C$2:$C$200=E14))</f>
        <v>粘土、水、油、お魚</v>
      </c>
    </row>
    <row r="15" spans="1:7" ht="15.75" customHeight="1">
      <c r="A15" s="245" t="s">
        <v>313</v>
      </c>
      <c r="B15" s="245" t="s">
        <v>198</v>
      </c>
      <c r="C15" s="233" t="s">
        <v>331</v>
      </c>
      <c r="E15" s="240" t="str">
        <v>3-21</v>
      </c>
      <c r="F15" s="241">
        <v>4</v>
      </c>
      <c r="G15" s="242" t="str">
        <f t="array" ref="G15">=_xlfn.TEXTJOIN("、",TRUE,_xlfn._xlws.FILTER($B$2:$B$200,$C$2:$C$200=E15))</f>
        <v>粘土、みかげ石、桃、カニのはさみ</v>
      </c>
    </row>
    <row r="16" spans="1:7" ht="15.75" customHeight="1">
      <c r="A16" s="245" t="s">
        <v>313</v>
      </c>
      <c r="B16" s="245" t="s">
        <v>198</v>
      </c>
      <c r="C16" s="233" t="s">
        <v>285</v>
      </c>
      <c r="E16" s="234" t="str">
        <v>2-27</v>
      </c>
      <c r="F16" s="229">
        <v>4</v>
      </c>
      <c r="G16" s="235" t="str">
        <f t="array" ref="G16">=_xlfn.TEXTJOIN("、",TRUE,_xlfn._xlws.FILTER($B$2:$B$200,$C$2:$C$200=E16))</f>
        <v>獣の牙、水、鬼のツノ、トラの毛皮</v>
      </c>
    </row>
    <row r="17" spans="1:7" ht="15.75" customHeight="1">
      <c r="A17" s="243" t="s">
        <v>339</v>
      </c>
      <c r="B17" s="243" t="s">
        <v>199</v>
      </c>
      <c r="C17" s="233" t="s">
        <v>310</v>
      </c>
      <c r="E17" s="234" t="str">
        <v>3-9</v>
      </c>
      <c r="F17" s="229">
        <v>4</v>
      </c>
      <c r="G17" s="235" t="str">
        <f t="array" ref="G17">=_xlfn.TEXTJOIN("、",TRUE,_xlfn._xlws.FILTER($B$2:$B$200,$C$2:$C$200=E17))</f>
        <v>大豆、真珠貝、手旗、麦</v>
      </c>
    </row>
    <row r="18" spans="1:7" ht="15.75" customHeight="1">
      <c r="A18" s="244" t="s">
        <v>339</v>
      </c>
      <c r="B18" s="244" t="s">
        <v>199</v>
      </c>
      <c r="C18" s="233" t="s">
        <v>343</v>
      </c>
      <c r="E18" s="234" t="str">
        <v>1-17</v>
      </c>
      <c r="F18" s="229">
        <v>4</v>
      </c>
      <c r="G18" s="235" t="str">
        <f t="array" ref="G18">=_xlfn.TEXTJOIN("、",TRUE,_xlfn._xlws.FILTER($B$2:$B$200,$C$2:$C$200=E18))</f>
        <v>大豆、水、鬼のツノ、トラの毛皮</v>
      </c>
    </row>
    <row r="19" spans="1:7" ht="15.75" customHeight="1">
      <c r="A19" s="244" t="s">
        <v>339</v>
      </c>
      <c r="B19" s="244" t="s">
        <v>199</v>
      </c>
      <c r="C19" s="233" t="s">
        <v>347</v>
      </c>
      <c r="E19" s="234" t="str">
        <v>2-16</v>
      </c>
      <c r="F19" s="229">
        <v>4</v>
      </c>
      <c r="G19" s="235" t="str">
        <f t="array" ref="G19">=_xlfn.TEXTJOIN("、",TRUE,_xlfn._xlws.FILTER($B$2:$B$200,$C$2:$C$200=E19))</f>
        <v>火打ち石、丸太、木の枝、サイコロ</v>
      </c>
    </row>
    <row r="20" spans="1:7" ht="15.75" customHeight="1">
      <c r="A20" s="245" t="s">
        <v>350</v>
      </c>
      <c r="B20" s="245" t="s">
        <v>193</v>
      </c>
      <c r="C20" s="233" t="s">
        <v>351</v>
      </c>
      <c r="E20" s="234" t="str">
        <v>2-6</v>
      </c>
      <c r="F20" s="229">
        <v>4</v>
      </c>
      <c r="G20" s="235" t="str">
        <f t="array" ref="G20">=_xlfn.TEXTJOIN("、",TRUE,_xlfn._xlws.FILTER($B$2:$B$200,$C$2:$C$200=E20))</f>
        <v>粘土、木の枝、水、お魚</v>
      </c>
    </row>
    <row r="21" spans="1:7" ht="15.75" customHeight="1">
      <c r="A21" s="245" t="s">
        <v>350</v>
      </c>
      <c r="B21" s="245" t="s">
        <v>193</v>
      </c>
      <c r="C21" s="233" t="s">
        <v>344</v>
      </c>
      <c r="E21" s="234" t="str">
        <v>3-33</v>
      </c>
      <c r="F21" s="229">
        <v>4</v>
      </c>
      <c r="G21" s="235" t="str">
        <f t="array" ref="G21">=_xlfn.TEXTJOIN("、",TRUE,_xlfn._xlws.FILTER($B$2:$B$200,$C$2:$C$200=E21))</f>
        <v>鉄、塩、油、ネジ</v>
      </c>
    </row>
    <row r="22" spans="1:7" ht="15.75" customHeight="1">
      <c r="A22" s="245" t="s">
        <v>350</v>
      </c>
      <c r="B22" s="245" t="s">
        <v>193</v>
      </c>
      <c r="C22" s="233" t="s">
        <v>358</v>
      </c>
      <c r="E22" s="234" t="str">
        <v>3-35</v>
      </c>
      <c r="F22" s="229">
        <v>4</v>
      </c>
      <c r="G22" s="235" t="str">
        <f t="array" ref="G22">=_xlfn.TEXTJOIN("、",TRUE,_xlfn._xlws.FILTER($B$2:$B$200,$C$2:$C$200=E22))</f>
        <v>ウロコ、塩、サンゴ、羽衣</v>
      </c>
    </row>
    <row r="23" spans="1:7" ht="15.75" customHeight="1">
      <c r="A23" s="245" t="s">
        <v>350</v>
      </c>
      <c r="B23" s="245" t="s">
        <v>193</v>
      </c>
      <c r="C23" s="233" t="s">
        <v>363</v>
      </c>
      <c r="E23" s="234" t="str">
        <v>2-22</v>
      </c>
      <c r="F23" s="229">
        <v>4</v>
      </c>
      <c r="G23" s="235" t="str">
        <f t="array" ref="G23">=_xlfn.TEXTJOIN("、",TRUE,_xlfn._xlws.FILTER($B$2:$B$200,$C$2:$C$200=E23))</f>
        <v>火打ち石、木の枝、みかげ石、ろうそく</v>
      </c>
    </row>
    <row r="24" spans="1:7" ht="15.75" customHeight="1">
      <c r="A24" s="245" t="s">
        <v>350</v>
      </c>
      <c r="B24" s="245" t="s">
        <v>193</v>
      </c>
      <c r="C24" s="233" t="s">
        <v>368</v>
      </c>
      <c r="E24" s="234" t="str">
        <v>1-11</v>
      </c>
      <c r="F24" s="229">
        <v>3</v>
      </c>
      <c r="G24" s="235" t="str">
        <f t="array" ref="G24">=_xlfn.TEXTJOIN("、",TRUE,_xlfn._xlws.FILTER($B$2:$B$200,$C$2:$C$200=E24))</f>
        <v>ふさふさの毛、麦、骨付き肉</v>
      </c>
    </row>
    <row r="25" spans="1:7" ht="15.75" customHeight="1">
      <c r="A25" s="245" t="s">
        <v>371</v>
      </c>
      <c r="B25" s="245" t="s">
        <v>200</v>
      </c>
      <c r="C25" s="233" t="s">
        <v>372</v>
      </c>
      <c r="E25" s="234" t="str">
        <v>2-25</v>
      </c>
      <c r="F25" s="229">
        <v>3</v>
      </c>
      <c r="G25" s="235" t="str">
        <f t="array" ref="G25">=_xlfn.TEXTJOIN("、",TRUE,_xlfn._xlws.FILTER($B$2:$B$200,$C$2:$C$200=E25))</f>
        <v>丸太、木の枝、お花</v>
      </c>
    </row>
    <row r="26" spans="1:7" ht="15.75" customHeight="1">
      <c r="A26" s="245" t="s">
        <v>371</v>
      </c>
      <c r="B26" s="245" t="s">
        <v>200</v>
      </c>
      <c r="C26" s="233" t="s">
        <v>376</v>
      </c>
      <c r="E26" s="234" t="str">
        <v>1-9</v>
      </c>
      <c r="F26" s="229">
        <v>3</v>
      </c>
      <c r="G26" s="235" t="str">
        <f t="array" ref="G26">=_xlfn.TEXTJOIN("、",TRUE,_xlfn._xlws.FILTER($B$2:$B$200,$C$2:$C$200=E26))</f>
        <v>大豆、水、桃</v>
      </c>
    </row>
    <row r="27" spans="1:7" ht="15.75" customHeight="1">
      <c r="A27" s="243" t="s">
        <v>61</v>
      </c>
      <c r="B27" s="243" t="s">
        <v>203</v>
      </c>
      <c r="C27" s="233" t="s">
        <v>380</v>
      </c>
      <c r="E27" s="234" t="str">
        <v>3-14</v>
      </c>
      <c r="F27" s="229">
        <v>3</v>
      </c>
      <c r="G27" s="235" t="str">
        <f t="array" ref="G27">=_xlfn.TEXTJOIN("、",TRUE,_xlfn._xlws.FILTER($B$2:$B$200,$C$2:$C$200=E27))</f>
        <v>手旗、トラの毛皮、サイコロ</v>
      </c>
    </row>
    <row r="28" spans="1:7" ht="15.75" customHeight="1">
      <c r="A28" s="244" t="s">
        <v>61</v>
      </c>
      <c r="B28" s="244" t="s">
        <v>203</v>
      </c>
      <c r="C28" s="233" t="s">
        <v>344</v>
      </c>
      <c r="E28" s="234" t="str">
        <v>1-13</v>
      </c>
      <c r="F28" s="229">
        <v>3</v>
      </c>
      <c r="G28" s="235" t="str">
        <f t="array" ref="G28">=_xlfn.TEXTJOIN("、",TRUE,_xlfn._xlws.FILTER($B$2:$B$200,$C$2:$C$200=E28))</f>
        <v>大豆、葉っぱ、卵</v>
      </c>
    </row>
    <row r="29" spans="1:7" ht="15.75" customHeight="1">
      <c r="A29" s="244" t="s">
        <v>61</v>
      </c>
      <c r="B29" s="244" t="s">
        <v>203</v>
      </c>
      <c r="C29" s="233" t="s">
        <v>352</v>
      </c>
      <c r="E29" s="234" t="str">
        <v>1-2</v>
      </c>
      <c r="F29" s="229">
        <v>3</v>
      </c>
      <c r="G29" s="235" t="str">
        <f t="array" ref="G29">=_xlfn.TEXTJOIN("、",TRUE,_xlfn._xlws.FILTER($B$2:$B$200,$C$2:$C$200=E29))</f>
        <v>水、葉っぱ、桃</v>
      </c>
    </row>
    <row r="30" spans="1:7" ht="15.75" customHeight="1">
      <c r="A30" s="244" t="s">
        <v>61</v>
      </c>
      <c r="B30" s="244" t="s">
        <v>203</v>
      </c>
      <c r="C30" s="233" t="s">
        <v>390</v>
      </c>
      <c r="E30" s="234" t="str">
        <v>2-11</v>
      </c>
      <c r="F30" s="229">
        <v>3</v>
      </c>
      <c r="G30" s="235" t="str">
        <f t="array" ref="G30">=_xlfn.TEXTJOIN("、",TRUE,_xlfn._xlws.FILTER($B$2:$B$200,$C$2:$C$200=E30))</f>
        <v>粘土、水、お魚</v>
      </c>
    </row>
    <row r="31" spans="1:7" ht="15.75" customHeight="1">
      <c r="A31" s="244" t="s">
        <v>61</v>
      </c>
      <c r="B31" s="244" t="s">
        <v>203</v>
      </c>
      <c r="C31" s="233" t="s">
        <v>363</v>
      </c>
      <c r="E31" s="234" t="str">
        <v>2-19</v>
      </c>
      <c r="F31" s="229">
        <v>3</v>
      </c>
      <c r="G31" s="235" t="str">
        <f t="array" ref="G31">=_xlfn.TEXTJOIN("、",TRUE,_xlfn._xlws.FILTER($B$2:$B$200,$C$2:$C$200=E31))</f>
        <v>お米、ふさふさの毛、骨付き肉</v>
      </c>
    </row>
    <row r="32" spans="1:7" ht="15.75" customHeight="1">
      <c r="A32" s="244" t="s">
        <v>61</v>
      </c>
      <c r="B32" s="244" t="s">
        <v>203</v>
      </c>
      <c r="C32" s="233" t="s">
        <v>347</v>
      </c>
      <c r="E32" s="234" t="str">
        <v>1-7</v>
      </c>
      <c r="F32" s="229">
        <v>3</v>
      </c>
      <c r="G32" s="235" t="str">
        <f t="array" ref="G32">=_xlfn.TEXTJOIN("、",TRUE,_xlfn._xlws.FILTER($B$2:$B$200,$C$2:$C$200=E32))</f>
        <v>丸太、葉っぱ、麦</v>
      </c>
    </row>
    <row r="33" spans="1:7" ht="15.75" customHeight="1">
      <c r="A33" s="245" t="s">
        <v>401</v>
      </c>
      <c r="B33" s="245" t="s">
        <v>204</v>
      </c>
      <c r="C33" s="233" t="s">
        <v>390</v>
      </c>
      <c r="E33" s="234" t="str">
        <v>3-19</v>
      </c>
      <c r="F33" s="229">
        <v>2</v>
      </c>
      <c r="G33" s="235" t="str">
        <f t="array" ref="G33">=_xlfn.TEXTJOIN("、",TRUE,_xlfn._xlws.FILTER($B$2:$B$200,$C$2:$C$200=E33))</f>
        <v>火打ち石、ろうそく</v>
      </c>
    </row>
    <row r="34" spans="1:7" ht="15.75" customHeight="1">
      <c r="A34" s="245" t="s">
        <v>401</v>
      </c>
      <c r="B34" s="245" t="s">
        <v>204</v>
      </c>
      <c r="C34" s="233" t="s">
        <v>372</v>
      </c>
      <c r="E34" s="234" t="str">
        <v>2-29</v>
      </c>
      <c r="F34" s="229">
        <v>2</v>
      </c>
      <c r="G34" s="235" t="str">
        <f t="array" ref="G34">=_xlfn.TEXTJOIN("、",TRUE,_xlfn._xlws.FILTER($B$2:$B$200,$C$2:$C$200=E34))</f>
        <v>ふさふさの毛、元結</v>
      </c>
    </row>
    <row r="35" spans="1:7" ht="15.75" customHeight="1">
      <c r="A35" s="245" t="s">
        <v>401</v>
      </c>
      <c r="B35" s="245" t="s">
        <v>204</v>
      </c>
      <c r="C35" s="233" t="s">
        <v>347</v>
      </c>
      <c r="E35" s="234" t="str">
        <v>2-5</v>
      </c>
      <c r="F35" s="229">
        <v>2</v>
      </c>
      <c r="G35" s="235" t="str">
        <f t="array" ref="G35">=_xlfn.TEXTJOIN("、",TRUE,_xlfn._xlws.FILTER($B$2:$B$200,$C$2:$C$200=E35))</f>
        <v>鉄、骨付き肉</v>
      </c>
    </row>
    <row r="36" spans="1:7" ht="15.75" customHeight="1">
      <c r="A36" s="245" t="s">
        <v>401</v>
      </c>
      <c r="B36" s="245" t="s">
        <v>204</v>
      </c>
      <c r="C36" s="233" t="s">
        <v>411</v>
      </c>
      <c r="E36" s="234" t="str">
        <v>2-2</v>
      </c>
      <c r="F36" s="229">
        <v>2</v>
      </c>
      <c r="G36" s="235" t="str">
        <f t="array" ref="G36">=_xlfn.TEXTJOIN("、",TRUE,_xlfn._xlws.FILTER($B$2:$B$200,$C$2:$C$200=E36))</f>
        <v>お米、大豆</v>
      </c>
    </row>
    <row r="37" spans="1:7" ht="15.75" customHeight="1">
      <c r="A37" s="245" t="s">
        <v>401</v>
      </c>
      <c r="B37" s="245" t="s">
        <v>204</v>
      </c>
      <c r="C37" s="233" t="s">
        <v>368</v>
      </c>
      <c r="E37" s="234" t="str">
        <v>3-31</v>
      </c>
      <c r="F37" s="229">
        <v>2</v>
      </c>
      <c r="G37" s="235" t="str">
        <f t="array" ref="G37">=_xlfn.TEXTJOIN("、",TRUE,_xlfn._xlws.FILTER($B$2:$B$200,$C$2:$C$200=E37))</f>
        <v>火打ち石、ろうそく</v>
      </c>
    </row>
    <row r="38" spans="1:7" ht="15.75" customHeight="1">
      <c r="A38" s="245" t="s">
        <v>401</v>
      </c>
      <c r="B38" s="245" t="s">
        <v>204</v>
      </c>
      <c r="C38" s="233" t="s">
        <v>376</v>
      </c>
      <c r="E38" s="234" t="str">
        <v/>
      </c>
      <c r="F38" s="246" t="s"/>
      <c r="G38" s="235" t="str">
        <f>=_xlfn.TEXTJOIN("、",TRUE,_xlfn._xlws.FILTER($B$2:$B$200,$C$2:$C$200=E38))</f>
        <v/>
      </c>
    </row>
    <row r="39" spans="1:6" ht="15.75" customHeight="1">
      <c r="A39" s="247" t="s">
        <v>205</v>
      </c>
      <c r="B39" s="247" t="s">
        <v>205</v>
      </c>
      <c r="C39" s="233" t="s">
        <v>314</v>
      </c>
      <c r="E39" s="234" t="str">
        <v>总计</v>
      </c>
      <c r="F39" s="229">
        <v>138</v>
      </c>
    </row>
    <row r="40" spans="1:3" ht="15.75" customHeight="1">
      <c r="A40" s="245" t="s">
        <v>205</v>
      </c>
      <c r="B40" s="245" t="s">
        <v>205</v>
      </c>
      <c r="C40" s="233" t="s">
        <v>315</v>
      </c>
    </row>
    <row r="41" spans="1:3" ht="15.75" customHeight="1">
      <c r="A41" s="245" t="s">
        <v>205</v>
      </c>
      <c r="B41" s="245" t="s">
        <v>205</v>
      </c>
      <c r="C41" s="233" t="s">
        <v>319</v>
      </c>
    </row>
    <row r="42" spans="1:3" ht="15.75" customHeight="1">
      <c r="A42" s="245" t="s">
        <v>205</v>
      </c>
      <c r="B42" s="245" t="s">
        <v>205</v>
      </c>
      <c r="C42" s="233" t="s">
        <v>421</v>
      </c>
    </row>
    <row r="43" spans="1:3" ht="15.75" customHeight="1">
      <c r="A43" s="245" t="s">
        <v>205</v>
      </c>
      <c r="B43" s="245" t="s">
        <v>205</v>
      </c>
      <c r="C43" s="233" t="s">
        <v>380</v>
      </c>
    </row>
    <row r="44" spans="1:3" ht="15.75" customHeight="1">
      <c r="A44" s="245" t="s">
        <v>205</v>
      </c>
      <c r="B44" s="245" t="s">
        <v>205</v>
      </c>
      <c r="C44" s="233" t="s">
        <v>344</v>
      </c>
    </row>
    <row r="45" spans="1:3" ht="15.75" customHeight="1">
      <c r="A45" s="245" t="s">
        <v>205</v>
      </c>
      <c r="B45" s="245" t="s">
        <v>205</v>
      </c>
      <c r="C45" s="233" t="s">
        <v>422</v>
      </c>
    </row>
    <row r="46" spans="1:3" ht="15.75" customHeight="1">
      <c r="A46" s="245" t="s">
        <v>205</v>
      </c>
      <c r="B46" s="245" t="s">
        <v>205</v>
      </c>
      <c r="C46" s="233" t="s">
        <v>398</v>
      </c>
    </row>
    <row r="47" spans="1:3" ht="15.75" customHeight="1">
      <c r="A47" s="243" t="s">
        <v>423</v>
      </c>
      <c r="B47" s="243" t="s">
        <v>210</v>
      </c>
      <c r="C47" s="233" t="s">
        <v>275</v>
      </c>
    </row>
    <row r="48" spans="1:3" ht="15.75" customHeight="1">
      <c r="A48" s="244" t="s">
        <v>423</v>
      </c>
      <c r="B48" s="244" t="s">
        <v>210</v>
      </c>
      <c r="C48" s="233" t="s">
        <v>297</v>
      </c>
    </row>
    <row r="49" spans="1:3" ht="15.75" customHeight="1">
      <c r="A49" s="244" t="s">
        <v>423</v>
      </c>
      <c r="B49" s="244" t="s">
        <v>210</v>
      </c>
      <c r="C49" s="233" t="s">
        <v>301</v>
      </c>
    </row>
    <row r="50" spans="1:3" ht="15.75" customHeight="1">
      <c r="A50" s="244" t="s">
        <v>423</v>
      </c>
      <c r="B50" s="244" t="s">
        <v>210</v>
      </c>
      <c r="C50" s="233" t="s">
        <v>331</v>
      </c>
    </row>
    <row r="51" spans="1:3" ht="15.75" customHeight="1">
      <c r="A51" s="244" t="s">
        <v>423</v>
      </c>
      <c r="B51" s="244" t="s">
        <v>210</v>
      </c>
      <c r="C51" s="233" t="s">
        <v>285</v>
      </c>
    </row>
    <row r="52" spans="1:3" ht="15.75" customHeight="1">
      <c r="A52" s="243" t="s">
        <v>424</v>
      </c>
      <c r="B52" s="243" t="s">
        <v>215</v>
      </c>
      <c r="C52" s="233" t="s">
        <v>301</v>
      </c>
    </row>
    <row r="53" spans="1:3" ht="15.75" customHeight="1">
      <c r="A53" s="244" t="s">
        <v>424</v>
      </c>
      <c r="B53" s="244" t="s">
        <v>215</v>
      </c>
      <c r="C53" s="233" t="s">
        <v>359</v>
      </c>
    </row>
    <row r="54" spans="1:3" ht="15.75" customHeight="1">
      <c r="A54" s="244" t="s">
        <v>424</v>
      </c>
      <c r="B54" s="244" t="s">
        <v>215</v>
      </c>
      <c r="C54" s="233" t="s">
        <v>358</v>
      </c>
    </row>
    <row r="55" spans="1:3" ht="15.75" customHeight="1">
      <c r="A55" s="244" t="s">
        <v>424</v>
      </c>
      <c r="B55" s="244" t="s">
        <v>215</v>
      </c>
      <c r="C55" s="233" t="s">
        <v>363</v>
      </c>
    </row>
    <row r="56" spans="1:3" ht="15.75" customHeight="1">
      <c r="A56" s="244" t="s">
        <v>424</v>
      </c>
      <c r="B56" s="244" t="s">
        <v>215</v>
      </c>
      <c r="C56" s="233" t="s">
        <v>291</v>
      </c>
    </row>
    <row r="57" spans="1:3" ht="15.75" customHeight="1">
      <c r="A57" s="244" t="s">
        <v>424</v>
      </c>
      <c r="B57" s="244" t="s">
        <v>215</v>
      </c>
      <c r="C57" s="233" t="s">
        <v>411</v>
      </c>
    </row>
    <row r="58" spans="1:3" ht="15.75" customHeight="1">
      <c r="A58" s="245" t="s">
        <v>425</v>
      </c>
      <c r="B58" s="245" t="s">
        <v>217</v>
      </c>
      <c r="C58" s="233" t="s">
        <v>331</v>
      </c>
    </row>
    <row r="59" spans="1:3" ht="15.75" customHeight="1">
      <c r="A59" s="245" t="s">
        <v>425</v>
      </c>
      <c r="B59" s="245" t="s">
        <v>217</v>
      </c>
      <c r="C59" s="233" t="s">
        <v>363</v>
      </c>
    </row>
    <row r="60" spans="1:3" ht="15.75" customHeight="1">
      <c r="A60" s="245" t="s">
        <v>231</v>
      </c>
      <c r="B60" s="245" t="s">
        <v>231</v>
      </c>
      <c r="C60" s="233" t="s">
        <v>426</v>
      </c>
    </row>
    <row r="61" spans="1:3" ht="15.75" customHeight="1">
      <c r="A61" s="245" t="s">
        <v>231</v>
      </c>
      <c r="B61" s="245" t="s">
        <v>231</v>
      </c>
      <c r="C61" s="233" t="s">
        <v>421</v>
      </c>
    </row>
    <row r="62" spans="1:3" ht="15.75" customHeight="1">
      <c r="A62" s="245" t="s">
        <v>231</v>
      </c>
      <c r="B62" s="245" t="s">
        <v>231</v>
      </c>
      <c r="C62" s="233" t="s">
        <v>319</v>
      </c>
    </row>
    <row r="63" spans="1:3" ht="15.75" customHeight="1">
      <c r="A63" s="245" t="s">
        <v>231</v>
      </c>
      <c r="B63" s="245" t="s">
        <v>231</v>
      </c>
      <c r="C63" s="233" t="s">
        <v>275</v>
      </c>
    </row>
    <row r="64" spans="1:3" ht="15.75" customHeight="1">
      <c r="A64" s="245" t="s">
        <v>231</v>
      </c>
      <c r="B64" s="245" t="s">
        <v>231</v>
      </c>
      <c r="C64" s="233" t="s">
        <v>278</v>
      </c>
    </row>
    <row r="65" spans="1:3" ht="15.75" customHeight="1">
      <c r="A65" s="245" t="s">
        <v>231</v>
      </c>
      <c r="B65" s="245" t="s">
        <v>231</v>
      </c>
      <c r="C65" s="233" t="s">
        <v>283</v>
      </c>
    </row>
    <row r="66" spans="1:3" ht="15.75" customHeight="1">
      <c r="A66" s="245" t="s">
        <v>231</v>
      </c>
      <c r="B66" s="245" t="s">
        <v>231</v>
      </c>
      <c r="C66" s="233" t="s">
        <v>343</v>
      </c>
    </row>
    <row r="67" spans="1:3" ht="15.75" customHeight="1">
      <c r="A67" s="245" t="s">
        <v>231</v>
      </c>
      <c r="B67" s="245" t="s">
        <v>231</v>
      </c>
      <c r="C67" s="233" t="s">
        <v>390</v>
      </c>
    </row>
    <row r="68" spans="1:3" ht="15.75" customHeight="1">
      <c r="A68" s="245" t="s">
        <v>231</v>
      </c>
      <c r="B68" s="245" t="s">
        <v>231</v>
      </c>
      <c r="C68" s="233" t="s">
        <v>398</v>
      </c>
    </row>
    <row r="69" spans="1:3" ht="15.75" customHeight="1">
      <c r="A69" s="245" t="s">
        <v>231</v>
      </c>
      <c r="B69" s="245" t="s">
        <v>231</v>
      </c>
      <c r="C69" s="233" t="s">
        <v>347</v>
      </c>
    </row>
    <row r="70" spans="1:3" ht="15.75" customHeight="1">
      <c r="A70" s="245" t="s">
        <v>450</v>
      </c>
      <c r="B70" s="245" t="s">
        <v>235</v>
      </c>
      <c r="C70" s="233" t="s">
        <v>314</v>
      </c>
    </row>
    <row r="71" spans="1:3" ht="15.75" customHeight="1">
      <c r="A71" s="245" t="s">
        <v>450</v>
      </c>
      <c r="B71" s="245" t="s">
        <v>235</v>
      </c>
      <c r="C71" s="233" t="s">
        <v>306</v>
      </c>
    </row>
    <row r="72" spans="1:3" ht="15.75" customHeight="1">
      <c r="A72" s="245" t="s">
        <v>450</v>
      </c>
      <c r="B72" s="245" t="s">
        <v>235</v>
      </c>
      <c r="C72" s="233" t="s">
        <v>310</v>
      </c>
    </row>
    <row r="73" spans="1:3" ht="15.75" customHeight="1">
      <c r="A73" s="245" t="s">
        <v>450</v>
      </c>
      <c r="B73" s="245" t="s">
        <v>235</v>
      </c>
      <c r="C73" s="233" t="s">
        <v>352</v>
      </c>
    </row>
    <row r="74" spans="1:3" ht="15.75" customHeight="1">
      <c r="A74" s="245" t="s">
        <v>450</v>
      </c>
      <c r="B74" s="245" t="s">
        <v>235</v>
      </c>
      <c r="C74" s="233" t="s">
        <v>373</v>
      </c>
    </row>
    <row r="75" spans="1:3" ht="15.75" customHeight="1">
      <c r="A75" s="245" t="s">
        <v>429</v>
      </c>
      <c r="B75" s="245" t="s">
        <v>218</v>
      </c>
      <c r="C75" s="233" t="s">
        <v>398</v>
      </c>
    </row>
    <row r="76" spans="1:3" ht="15.75" customHeight="1">
      <c r="A76" s="245" t="s">
        <v>429</v>
      </c>
      <c r="B76" s="245" t="s">
        <v>218</v>
      </c>
      <c r="C76" s="233" t="s">
        <v>372</v>
      </c>
    </row>
    <row r="77" spans="1:3" ht="15.75" customHeight="1">
      <c r="A77" s="245" t="s">
        <v>429</v>
      </c>
      <c r="B77" s="245" t="s">
        <v>218</v>
      </c>
      <c r="C77" s="233" t="s">
        <v>411</v>
      </c>
    </row>
    <row r="78" spans="1:3" ht="15.75" customHeight="1">
      <c r="A78" s="248" t="s">
        <v>429</v>
      </c>
      <c r="B78" s="248" t="s">
        <v>218</v>
      </c>
      <c r="C78" s="233" t="s">
        <v>376</v>
      </c>
    </row>
    <row r="79" spans="1:3" ht="15.75" customHeight="1">
      <c r="A79" s="245" t="s">
        <v>430</v>
      </c>
      <c r="B79" s="245" t="s">
        <v>221</v>
      </c>
      <c r="C79" s="233" t="s">
        <v>426</v>
      </c>
    </row>
    <row r="80" spans="1:3" ht="15.75" customHeight="1">
      <c r="A80" s="245" t="s">
        <v>430</v>
      </c>
      <c r="B80" s="245" t="s">
        <v>221</v>
      </c>
      <c r="C80" s="233" t="s">
        <v>318</v>
      </c>
    </row>
    <row r="81" spans="1:3" ht="15.75" customHeight="1">
      <c r="A81" s="245" t="s">
        <v>430</v>
      </c>
      <c r="B81" s="245" t="s">
        <v>221</v>
      </c>
      <c r="C81" s="233" t="s">
        <v>315</v>
      </c>
    </row>
    <row r="82" spans="1:3" ht="15.75" customHeight="1">
      <c r="A82" s="245" t="s">
        <v>430</v>
      </c>
      <c r="B82" s="245" t="s">
        <v>221</v>
      </c>
      <c r="C82" s="233" t="s">
        <v>372</v>
      </c>
    </row>
    <row r="83" spans="1:3" ht="15.75" customHeight="1">
      <c r="A83" s="245" t="s">
        <v>431</v>
      </c>
      <c r="B83" s="245" t="s">
        <v>222</v>
      </c>
      <c r="C83" s="233" t="s">
        <v>426</v>
      </c>
    </row>
    <row r="84" spans="1:3" ht="15.75" customHeight="1">
      <c r="A84" s="245" t="s">
        <v>431</v>
      </c>
      <c r="B84" s="245" t="s">
        <v>222</v>
      </c>
      <c r="C84" s="233" t="s">
        <v>421</v>
      </c>
    </row>
    <row r="85" spans="1:3" ht="15.75" customHeight="1">
      <c r="A85" s="245" t="s">
        <v>431</v>
      </c>
      <c r="B85" s="245" t="s">
        <v>222</v>
      </c>
      <c r="C85" s="233" t="s">
        <v>363</v>
      </c>
    </row>
    <row r="86" spans="1:3" ht="15.75" customHeight="1">
      <c r="A86" s="245" t="s">
        <v>431</v>
      </c>
      <c r="B86" s="245" t="s">
        <v>222</v>
      </c>
      <c r="C86" s="233" t="s">
        <v>291</v>
      </c>
    </row>
    <row r="87" spans="1:3" ht="15.75" customHeight="1">
      <c r="A87" s="245" t="s">
        <v>431</v>
      </c>
      <c r="B87" s="245" t="s">
        <v>222</v>
      </c>
      <c r="C87" s="233" t="s">
        <v>372</v>
      </c>
    </row>
    <row r="88" spans="1:3" ht="15.75" customHeight="1">
      <c r="A88" s="245" t="s">
        <v>432</v>
      </c>
      <c r="B88" s="245" t="s">
        <v>227</v>
      </c>
      <c r="C88" s="233" t="s">
        <v>319</v>
      </c>
    </row>
    <row r="89" spans="1:3" ht="15.75" customHeight="1">
      <c r="A89" s="245" t="s">
        <v>432</v>
      </c>
      <c r="B89" s="245" t="s">
        <v>227</v>
      </c>
      <c r="C89" s="233" t="s">
        <v>343</v>
      </c>
    </row>
    <row r="90" spans="1:3" ht="15.75" customHeight="1">
      <c r="A90" s="245" t="s">
        <v>433</v>
      </c>
      <c r="B90" s="245" t="s">
        <v>267</v>
      </c>
      <c r="C90" s="233" t="s">
        <v>390</v>
      </c>
    </row>
    <row r="91" spans="1:3" ht="15.75" customHeight="1">
      <c r="A91" s="245" t="s">
        <v>433</v>
      </c>
      <c r="B91" s="245" t="s">
        <v>267</v>
      </c>
      <c r="C91" s="233" t="s">
        <v>358</v>
      </c>
    </row>
    <row r="92" spans="1:3" ht="15.75" customHeight="1">
      <c r="A92" s="245" t="s">
        <v>433</v>
      </c>
      <c r="B92" s="245" t="s">
        <v>267</v>
      </c>
      <c r="C92" s="233" t="s">
        <v>363</v>
      </c>
    </row>
    <row r="93" spans="1:3" ht="15.75" customHeight="1">
      <c r="A93" s="245" t="s">
        <v>433</v>
      </c>
      <c r="B93" s="245" t="s">
        <v>267</v>
      </c>
      <c r="C93" s="233" t="s">
        <v>422</v>
      </c>
    </row>
    <row r="94" spans="1:3" ht="15.75" customHeight="1">
      <c r="A94" s="245" t="s">
        <v>433</v>
      </c>
      <c r="B94" s="245" t="s">
        <v>267</v>
      </c>
      <c r="C94" s="233" t="s">
        <v>398</v>
      </c>
    </row>
    <row r="95" spans="1:3" ht="15.75" customHeight="1">
      <c r="A95" s="245" t="s">
        <v>258</v>
      </c>
      <c r="B95" s="245" t="s">
        <v>258</v>
      </c>
      <c r="C95" s="233" t="s">
        <v>422</v>
      </c>
    </row>
    <row r="96" spans="1:3" ht="15.75" customHeight="1">
      <c r="A96" s="245" t="s">
        <v>258</v>
      </c>
      <c r="B96" s="245" t="s">
        <v>258</v>
      </c>
      <c r="C96" s="233" t="s">
        <v>285</v>
      </c>
    </row>
    <row r="97" spans="1:3" ht="15.75" customHeight="1">
      <c r="A97" s="245" t="s">
        <v>258</v>
      </c>
      <c r="B97" s="245" t="s">
        <v>258</v>
      </c>
      <c r="C97" s="249" t="s">
        <v>394</v>
      </c>
    </row>
    <row r="98" spans="1:3" ht="15.75" customHeight="1">
      <c r="A98" s="245" t="s">
        <v>434</v>
      </c>
      <c r="B98" s="247" t="s">
        <v>238</v>
      </c>
      <c r="C98" s="249" t="s">
        <v>310</v>
      </c>
    </row>
    <row r="99" spans="1:3" ht="15.75" customHeight="1">
      <c r="A99" s="245" t="s">
        <v>434</v>
      </c>
      <c r="B99" s="248" t="s">
        <v>238</v>
      </c>
      <c r="C99" s="233" t="s">
        <v>319</v>
      </c>
    </row>
    <row r="100" spans="1:3" ht="15.75" customHeight="1">
      <c r="A100" s="245" t="s">
        <v>434</v>
      </c>
      <c r="B100" s="245" t="s">
        <v>238</v>
      </c>
      <c r="C100" s="233" t="s">
        <v>343</v>
      </c>
    </row>
    <row r="101" spans="1:3" ht="15.75" customHeight="1">
      <c r="A101" s="245" t="s">
        <v>434</v>
      </c>
      <c r="B101" s="245" t="s">
        <v>238</v>
      </c>
      <c r="C101" s="233" t="s">
        <v>394</v>
      </c>
    </row>
    <row r="102" spans="1:3" ht="15.75" customHeight="1">
      <c r="A102" s="243" t="s">
        <v>436</v>
      </c>
      <c r="B102" s="243" t="s">
        <v>257</v>
      </c>
      <c r="C102" s="233" t="s">
        <v>297</v>
      </c>
    </row>
    <row r="103" spans="1:3" ht="15.75" customHeight="1">
      <c r="A103" s="244" t="s">
        <v>436</v>
      </c>
      <c r="B103" s="244" t="s">
        <v>257</v>
      </c>
      <c r="C103" s="233" t="s">
        <v>359</v>
      </c>
    </row>
    <row r="104" spans="1:3" ht="15.75" customHeight="1">
      <c r="A104" s="244" t="s">
        <v>436</v>
      </c>
      <c r="B104" s="244" t="s">
        <v>257</v>
      </c>
      <c r="C104" s="233" t="s">
        <v>394</v>
      </c>
    </row>
    <row r="105" spans="1:3" ht="15.75" customHeight="1">
      <c r="A105" s="245" t="s">
        <v>437</v>
      </c>
      <c r="B105" s="245" t="s">
        <v>451</v>
      </c>
      <c r="C105" s="233" t="s">
        <v>398</v>
      </c>
    </row>
    <row r="106" spans="1:3" ht="15.75" customHeight="1">
      <c r="A106" s="245" t="s">
        <v>437</v>
      </c>
      <c r="B106" s="245" t="s">
        <v>451</v>
      </c>
      <c r="C106" s="233" t="s">
        <v>291</v>
      </c>
    </row>
    <row r="107" spans="1:3" ht="15.75" customHeight="1">
      <c r="A107" s="245" t="s">
        <v>437</v>
      </c>
      <c r="B107" s="245" t="s">
        <v>451</v>
      </c>
      <c r="C107" s="233" t="s">
        <v>411</v>
      </c>
    </row>
    <row r="108" spans="1:3" ht="15.75" customHeight="1">
      <c r="A108" s="245" t="s">
        <v>439</v>
      </c>
      <c r="B108" s="245" t="s">
        <v>261</v>
      </c>
      <c r="C108" s="233" t="s">
        <v>390</v>
      </c>
    </row>
    <row r="109" spans="1:3" ht="15.75" customHeight="1">
      <c r="A109" s="245" t="s">
        <v>439</v>
      </c>
      <c r="B109" s="245" t="s">
        <v>261</v>
      </c>
      <c r="C109" s="233" t="s">
        <v>398</v>
      </c>
    </row>
    <row r="110" spans="1:3" ht="15.75" customHeight="1">
      <c r="A110" s="245" t="s">
        <v>439</v>
      </c>
      <c r="B110" s="245" t="s">
        <v>261</v>
      </c>
      <c r="C110" s="233" t="s">
        <v>347</v>
      </c>
    </row>
    <row r="111" spans="1:3" ht="15.75" customHeight="1">
      <c r="A111" s="245" t="s">
        <v>439</v>
      </c>
      <c r="B111" s="245" t="s">
        <v>261</v>
      </c>
      <c r="C111" s="233" t="s">
        <v>411</v>
      </c>
    </row>
    <row r="112" spans="1:3" ht="15.75" customHeight="1">
      <c r="A112" s="243" t="s">
        <v>252</v>
      </c>
      <c r="B112" s="243" t="s">
        <v>252</v>
      </c>
      <c r="C112" s="233" t="s">
        <v>318</v>
      </c>
    </row>
    <row r="113" spans="1:3" ht="15.75" customHeight="1">
      <c r="A113" s="244" t="s">
        <v>252</v>
      </c>
      <c r="B113" s="244" t="s">
        <v>252</v>
      </c>
      <c r="C113" s="233" t="s">
        <v>306</v>
      </c>
    </row>
    <row r="114" spans="1:3" ht="15.75" customHeight="1">
      <c r="A114" s="244" t="s">
        <v>252</v>
      </c>
      <c r="B114" s="244" t="s">
        <v>252</v>
      </c>
      <c r="C114" s="233" t="s">
        <v>310</v>
      </c>
    </row>
    <row r="115" spans="1:3" ht="15.75" customHeight="1">
      <c r="A115" s="244" t="s">
        <v>252</v>
      </c>
      <c r="B115" s="244" t="s">
        <v>252</v>
      </c>
      <c r="C115" s="233" t="s">
        <v>422</v>
      </c>
    </row>
    <row r="116" spans="1:3" ht="15.75" customHeight="1">
      <c r="A116" s="245" t="s">
        <v>249</v>
      </c>
      <c r="B116" s="245" t="s">
        <v>249</v>
      </c>
      <c r="C116" s="233" t="s">
        <v>278</v>
      </c>
    </row>
    <row r="117" spans="1:3" ht="15.75" customHeight="1">
      <c r="A117" s="245" t="s">
        <v>249</v>
      </c>
      <c r="B117" s="245" t="s">
        <v>249</v>
      </c>
      <c r="C117" s="233" t="s">
        <v>358</v>
      </c>
    </row>
    <row r="118" spans="1:3" ht="15.75" customHeight="1">
      <c r="A118" s="248" t="s">
        <v>249</v>
      </c>
      <c r="B118" s="248" t="s">
        <v>249</v>
      </c>
      <c r="C118" s="233" t="s">
        <v>368</v>
      </c>
    </row>
    <row r="119" spans="1:3" ht="15.75" customHeight="1">
      <c r="A119" s="250" t="s">
        <v>440</v>
      </c>
      <c r="B119" s="248" t="s">
        <v>441</v>
      </c>
      <c r="C119" s="233" t="s">
        <v>358</v>
      </c>
    </row>
    <row r="120" spans="1:3" ht="15.75" customHeight="1">
      <c r="A120" s="248" t="s">
        <v>440</v>
      </c>
      <c r="B120" s="248" t="s">
        <v>441</v>
      </c>
      <c r="C120" s="249" t="s">
        <v>368</v>
      </c>
    </row>
    <row r="121" spans="1:3" ht="15.75" customHeight="1">
      <c r="A121" s="250" t="s">
        <v>442</v>
      </c>
      <c r="B121" s="248" t="s">
        <v>244</v>
      </c>
      <c r="C121" s="249" t="s">
        <v>301</v>
      </c>
    </row>
    <row r="122" spans="1:3" ht="15.75" customHeight="1">
      <c r="A122" s="251" t="s">
        <v>442</v>
      </c>
      <c r="B122" s="251" t="s">
        <v>244</v>
      </c>
      <c r="C122" s="252" t="s">
        <v>359</v>
      </c>
    </row>
    <row r="123" spans="1:3" ht="15.75" customHeight="1">
      <c r="A123" s="251" t="s">
        <v>442</v>
      </c>
      <c r="B123" s="251" t="s">
        <v>244</v>
      </c>
      <c r="C123" s="249" t="s">
        <v>305</v>
      </c>
    </row>
    <row r="124" spans="1:3" ht="15.75" customHeight="1">
      <c r="A124" s="251" t="s">
        <v>442</v>
      </c>
      <c r="B124" s="251" t="s">
        <v>244</v>
      </c>
      <c r="C124" s="249" t="s">
        <v>309</v>
      </c>
    </row>
    <row r="125" spans="1:3" ht="15.75" customHeight="1">
      <c r="A125" s="251" t="s">
        <v>443</v>
      </c>
      <c r="B125" s="251" t="s">
        <v>444</v>
      </c>
      <c r="C125" s="249" t="s">
        <v>314</v>
      </c>
    </row>
    <row r="126" spans="1:3" ht="15.75" customHeight="1">
      <c r="A126" s="248" t="s">
        <v>443</v>
      </c>
      <c r="B126" s="251" t="s">
        <v>444</v>
      </c>
      <c r="C126" s="249" t="s">
        <v>306</v>
      </c>
    </row>
    <row r="127" spans="1:3" ht="15.75" customHeight="1">
      <c r="A127" s="248" t="s">
        <v>443</v>
      </c>
      <c r="B127" s="251" t="s">
        <v>444</v>
      </c>
      <c r="C127" s="249" t="s">
        <v>351</v>
      </c>
    </row>
    <row r="128" spans="1:3" ht="15.75" customHeight="1">
      <c r="A128" s="248" t="s">
        <v>443</v>
      </c>
      <c r="B128" s="251" t="s">
        <v>444</v>
      </c>
      <c r="C128" s="249" t="s">
        <v>352</v>
      </c>
    </row>
    <row r="129" spans="1:3" ht="15.75" customHeight="1">
      <c r="A129" s="248" t="s">
        <v>445</v>
      </c>
      <c r="B129" s="248" t="s">
        <v>250</v>
      </c>
      <c r="C129" s="249" t="s">
        <v>275</v>
      </c>
    </row>
    <row r="130" spans="1:3" ht="15.75" customHeight="1">
      <c r="A130" s="248" t="s">
        <v>445</v>
      </c>
      <c r="B130" s="248" t="s">
        <v>250</v>
      </c>
      <c r="C130" s="249" t="s">
        <v>278</v>
      </c>
    </row>
    <row r="131" spans="1:3" ht="15.75" customHeight="1">
      <c r="A131" s="248" t="s">
        <v>445</v>
      </c>
      <c r="B131" s="248" t="s">
        <v>250</v>
      </c>
      <c r="C131" s="249" t="s">
        <v>283</v>
      </c>
    </row>
    <row r="132" spans="1:3" ht="15.75" customHeight="1">
      <c r="A132" s="248" t="s">
        <v>445</v>
      </c>
      <c r="B132" s="248" t="s">
        <v>250</v>
      </c>
      <c r="C132" s="249" t="s">
        <v>344</v>
      </c>
    </row>
    <row r="133" spans="1:3" ht="15.75" customHeight="1">
      <c r="A133" s="248" t="s">
        <v>445</v>
      </c>
      <c r="B133" s="248" t="s">
        <v>250</v>
      </c>
      <c r="C133" s="253" t="s">
        <v>359</v>
      </c>
    </row>
    <row r="134" spans="1:3" ht="15.75" customHeight="1">
      <c r="A134" s="248" t="s">
        <v>445</v>
      </c>
      <c r="B134" s="248" t="s">
        <v>250</v>
      </c>
      <c r="C134" s="249" t="s">
        <v>372</v>
      </c>
    </row>
    <row r="135" spans="1:3" ht="15.75" customHeight="1">
      <c r="A135" s="248" t="s">
        <v>446</v>
      </c>
      <c r="B135" s="248" t="s">
        <v>251</v>
      </c>
      <c r="C135" s="254" t="s">
        <v>314</v>
      </c>
    </row>
    <row r="136" spans="1:3" ht="15.75" customHeight="1">
      <c r="A136" s="248" t="s">
        <v>446</v>
      </c>
      <c r="B136" s="248" t="s">
        <v>251</v>
      </c>
      <c r="C136" s="254" t="s">
        <v>315</v>
      </c>
    </row>
    <row r="137" spans="1:3" ht="15.75" customHeight="1">
      <c r="A137" s="248" t="s">
        <v>446</v>
      </c>
      <c r="B137" s="248" t="s">
        <v>251</v>
      </c>
      <c r="C137" s="254" t="s">
        <v>344</v>
      </c>
    </row>
    <row r="138" spans="1:3" ht="15.75" customHeight="1">
      <c r="A138" s="255" t="s">
        <v>447</v>
      </c>
      <c r="B138" s="255" t="s">
        <v>448</v>
      </c>
      <c r="C138" s="254" t="s">
        <v>373</v>
      </c>
    </row>
    <row r="139" spans="1:3" ht="15.75" customHeight="1">
      <c r="A139" s="248" t="s">
        <v>449</v>
      </c>
      <c r="B139" s="248" t="s">
        <v>449</v>
      </c>
      <c r="C139" s="256" t="s">
        <v>376</v>
      </c>
    </row>
    <row r="140" spans="1:24" ht="15.75" customHeight="1"/>
    <row r="141" spans="1:24" ht="15.75" customHeight="1"/>
    <row r="142" spans="1:24" ht="15.75" customHeight="1"/>
    <row r="143" spans="1:24" ht="15.75" customHeight="1"/>
    <row r="144" spans="1:24" ht="15.75" customHeight="1"/>
    <row r="145" spans="1:24" ht="15.75" customHeight="1"/>
    <row r="146" spans="1:24" ht="15.75" customHeight="1"/>
    <row r="147" spans="1:24" ht="15.75" customHeight="1"/>
    <row r="148" spans="1:24" ht="15.75" customHeight="1"/>
    <row r="149" spans="1:24" ht="15.75" customHeight="1"/>
    <row r="150" spans="1:24" ht="15.75" customHeight="1"/>
    <row r="151" spans="1:24" ht="15.75" customHeight="1"/>
    <row r="152" spans="1:24" ht="15.75" customHeight="1"/>
    <row r="153" spans="1:24" ht="15.75" customHeight="1"/>
    <row r="154" spans="1:24" ht="15.75" customHeight="1"/>
    <row r="155" spans="1:24" ht="15.75" customHeight="1"/>
    <row r="156" spans="1:24" ht="15.75" customHeight="1"/>
    <row r="157" spans="1:24" ht="15.75" customHeight="1"/>
    <row r="158" spans="1:24" ht="15.75" customHeight="1"/>
    <row r="159" spans="1:24" ht="15.75" customHeight="1"/>
    <row r="160" spans="1:24" ht="15.75" customHeight="1"/>
    <row r="161" spans="1:24" ht="15.75" customHeight="1"/>
    <row r="162" spans="1:24" ht="15.75" customHeight="1"/>
    <row r="163" spans="1:24" ht="15.75" customHeight="1"/>
    <row r="164" spans="1:24" ht="15.75" customHeight="1"/>
    <row r="165" spans="1:24" ht="15.75" customHeight="1"/>
    <row r="166" spans="1:24" ht="15.75" customHeight="1"/>
    <row r="167" spans="1:24" ht="15.75" customHeight="1"/>
    <row r="168" spans="1:24" ht="15.75" customHeight="1"/>
    <row r="169" spans="1:24" ht="15.75" customHeight="1"/>
    <row r="170" spans="1:24" ht="15.75" customHeight="1"/>
    <row r="171" spans="1:24" ht="15.75" customHeight="1"/>
    <row r="172" spans="1:24" ht="15.75" customHeight="1"/>
    <row r="173" spans="1:24" ht="15.75" customHeight="1"/>
    <row r="174" spans="1:24" ht="15.75" customHeight="1"/>
    <row r="175" spans="1:24" ht="15.75" customHeight="1"/>
    <row r="176" spans="1:24" ht="15.75" customHeight="1"/>
    <row r="177" spans="1:24" ht="15.75" customHeight="1"/>
    <row r="178" spans="1:24" ht="15.75" customHeight="1"/>
    <row r="179" spans="1:24" ht="15.75" customHeight="1"/>
    <row r="180" spans="1:24" ht="15.75" customHeight="1"/>
    <row r="181" spans="1:24" ht="15.75" customHeight="1"/>
    <row r="182" spans="1:24" ht="15.75" customHeight="1"/>
    <row r="183" spans="1:24" ht="15.75" customHeight="1"/>
    <row r="184" spans="1:24" ht="15.75" customHeight="1"/>
    <row r="185" spans="1:24" ht="15.75" customHeight="1"/>
    <row r="186" spans="1:24" ht="15.75" customHeight="1"/>
    <row r="187" spans="1:24" ht="15.75" customHeight="1"/>
    <row r="188" spans="1:24" ht="15.75" customHeight="1"/>
    <row r="189" spans="1:24" ht="15.75" customHeight="1"/>
    <row r="190" spans="1:24" ht="15.75" customHeight="1"/>
    <row r="191" spans="1:24" ht="15.75" customHeight="1"/>
    <row r="192" spans="1:24" ht="15.75" customHeight="1"/>
    <row r="193" spans="1:24" ht="15.75" customHeight="1"/>
    <row r="194" spans="1:24" ht="15.75" customHeight="1"/>
    <row r="195" spans="1:24" ht="15.75" customHeight="1"/>
    <row r="196" spans="1:24" ht="15.75" customHeight="1"/>
    <row r="197" spans="1:24" ht="15.75" customHeight="1"/>
    <row r="198" spans="1:24" ht="15.75" customHeight="1"/>
    <row r="199" spans="1:24" ht="15.75" customHeight="1"/>
    <row r="200" spans="1:24" ht="15.75" customHeight="1"/>
  </sheetData>
  <pageMargins left="0.7" right="0.7" top="0.75" bottom="0.75" header="0.3" footer="0.3"/>
</worksheet>
</file>

<file path=xl/worksheets/sheet5.xml><?xml version="1.0" encoding="utf-8"?>
<worksheet xmlns:r="http://schemas.openxmlformats.org/officeDocument/2006/relationships" xmlns="http://schemas.openxmlformats.org/spreadsheetml/2006/main">
  <sheetPr codeName="其他工具">
    <tabColor/>
  </sheetPr>
  <dimension ref="F29"/>
  <sheetViews>
    <sheetView showGridLines="1" workbookViewId="0"/>
  </sheetViews>
  <sheetFormatPr baseColWidth="13" defaultRowHeight="18" customHeight="1"/>
  <cols>
    <col min="1" max="1" width="13.6914" customWidth="1"/>
    <col min="2" max="2" width="40.7812" customWidth="1"/>
    <col min="7" max="7" width="30.543" customWidth="1"/>
  </cols>
  <sheetData>
    <row r="2" spans="1:2">
      <c r="A2" t="s">
        <v>452</v>
      </c>
      <c r="B2" t="s">
        <v>638</v>
      </c>
    </row>
    <row r="3" spans="1:2">
      <c r="A3" s="257" t="s"/>
      <c r="B3" s="258" t="s"/>
    </row>
    <row r="4" spans="1:8">
      <c r="A4" s="257" t="s">
        <v>453</v>
      </c>
      <c r="B4" s="258" t="s">
        <v>639</v>
      </c>
      <c r="C4" t="s">
        <v>454</v>
      </c>
      <c r="G4" t="s">
        <v>455</v>
      </c>
      <c r="H4" t="s">
        <v>456</v>
      </c>
    </row>
    <row r="5" spans="1:2">
      <c r="A5" s="257" t="s">
        <v>457</v>
      </c>
      <c r="B5" s="259" t="s">
        <v>640</v>
      </c>
    </row>
    <row r="6" spans="2:2">
      <c r="B6" s="259" t="s">
        <v>641</v>
      </c>
    </row>
    <row r="7" spans="1:1">
      <c r="A7" s="257" t="s"/>
    </row>
    <row r="8" spans="1:2">
      <c r="A8" s="257" t="s">
        <v>458</v>
      </c>
      <c r="B8" t="s">
        <v>642</v>
      </c>
    </row>
    <row r="9" spans="1:7" ht="99.75" customHeight="1">
      <c r="A9" s="257" t="s">
        <v>459</v>
      </c>
      <c r="B9" t="s">
        <v>643</v>
      </c>
      <c r="G9" t="s">
        <v>460</v>
      </c>
    </row>
    <row r="10" spans="1:7" ht="47.25" customHeight="1">
      <c r="A10" s="260" t="s">
        <v>461</v>
      </c>
      <c r="B10" s="260" t="s">
        <v>644</v>
      </c>
      <c r="C10" s="261" t="s">
        <v>462</v>
      </c>
      <c r="D10" s="261" t="s">
        <v>463</v>
      </c>
      <c r="E10" s="261" t="s">
        <v>464</v>
      </c>
      <c r="F10" s="262" t="s"/>
      <c r="G10" t="s">
        <v>465</v>
      </c>
    </row>
    <row r="11" spans="3:6" ht="57" customHeight="1">
      <c r="C11" s="261" t="s">
        <v>466</v>
      </c>
      <c r="D11" s="261" t="s">
        <v>467</v>
      </c>
      <c r="E11" s="261" t="s">
        <v>468</v>
      </c>
      <c r="F11" s="263" t="s"/>
    </row>
    <row r="12" spans="2:2">
      <c r="B12" s="70" t="s"/>
    </row>
    <row r="13" spans="1:7">
      <c r="A13" s="264" t="s">
        <v>469</v>
      </c>
      <c r="B13" s="264" t="s">
        <v>470</v>
      </c>
      <c r="C13" s="265" t="s"/>
      <c r="D13" s="265" t="s"/>
      <c r="E13" s="265" t="s"/>
      <c r="F13" s="265" t="s"/>
      <c r="G13" s="266" t="s">
        <v>273</v>
      </c>
    </row>
    <row r="14" spans="1:9">
      <c r="A14" s="267" t="s">
        <v>471</v>
      </c>
      <c r="B14" s="268" t="s">
        <v>472</v>
      </c>
      <c r="C14" s="269" t="s">
        <v>473</v>
      </c>
      <c r="D14" s="269" t="s">
        <v>474</v>
      </c>
      <c r="E14" s="269" t="s">
        <v>475</v>
      </c>
      <c r="F14" s="270" t="s">
        <v>476</v>
      </c>
      <c r="G14" s="257" t="s">
        <v>477</v>
      </c>
      <c r="H14" s="133" t="s"/>
      <c r="I14" s="133" t="s"/>
    </row>
    <row r="15" spans="1:9">
      <c r="A15" s="271" t="s"/>
      <c r="C15" s="272" t="s">
        <v>478</v>
      </c>
      <c r="D15" s="272" t="s">
        <v>479</v>
      </c>
      <c r="E15" s="272" t="s">
        <v>480</v>
      </c>
      <c r="F15" s="273" t="s">
        <v>481</v>
      </c>
      <c r="H15" s="133" t="s"/>
      <c r="I15" s="133" t="s"/>
    </row>
    <row r="16" spans="1:6">
      <c r="A16" s="271" t="s"/>
      <c r="B16" s="274" t="s">
        <v>482</v>
      </c>
      <c r="C16" s="272" t="s">
        <v>483</v>
      </c>
      <c r="D16" s="272" t="s">
        <v>484</v>
      </c>
      <c r="E16" s="275" t="s">
        <v>485</v>
      </c>
      <c r="F16" s="276" t="s">
        <v>486</v>
      </c>
    </row>
    <row r="17" spans="1:6">
      <c r="A17" s="271" t="s"/>
      <c r="B17" s="277" t="s">
        <v>487</v>
      </c>
      <c r="C17" s="278" t="s">
        <v>488</v>
      </c>
      <c r="D17" s="278" t="s">
        <v>489</v>
      </c>
      <c r="E17" s="279" t="s">
        <v>490</v>
      </c>
      <c r="F17" s="273" t="s">
        <v>491</v>
      </c>
    </row>
    <row r="18" spans="1:7">
      <c r="A18" s="280" t="s">
        <v>492</v>
      </c>
      <c r="B18" s="281" t="s">
        <v>493</v>
      </c>
      <c r="C18" s="282" t="s">
        <v>494</v>
      </c>
      <c r="D18" s="282" t="s">
        <v>495</v>
      </c>
      <c r="E18" s="282" t="s">
        <v>496</v>
      </c>
      <c r="F18" s="283" t="s">
        <v>497</v>
      </c>
      <c r="G18" s="257" t="s">
        <v>498</v>
      </c>
    </row>
    <row r="19" spans="1:6">
      <c r="A19" s="284" t="s"/>
      <c r="B19" s="285" t="s">
        <v>499</v>
      </c>
      <c r="C19" s="286" t="s">
        <v>500</v>
      </c>
      <c r="D19" s="286" t="s">
        <v>501</v>
      </c>
      <c r="E19" s="286" t="s">
        <v>502</v>
      </c>
      <c r="F19" s="287" t="s">
        <v>503</v>
      </c>
    </row>
    <row r="20" spans="1:6">
      <c r="A20" s="284" t="s"/>
      <c r="B20" s="288" t="s"/>
      <c r="C20" s="286" t="s">
        <v>504</v>
      </c>
      <c r="D20" s="286" t="s">
        <v>505</v>
      </c>
      <c r="E20" s="286" t="s">
        <v>483</v>
      </c>
      <c r="F20" s="287" t="s">
        <v>506</v>
      </c>
    </row>
    <row r="21" spans="1:6">
      <c r="A21" s="289" t="s"/>
      <c r="B21" s="290" t="s">
        <v>507</v>
      </c>
      <c r="C21" s="291" t="s">
        <v>508</v>
      </c>
      <c r="D21" s="291" t="s">
        <v>509</v>
      </c>
      <c r="E21" s="291" t="s">
        <v>510</v>
      </c>
      <c r="F21" s="292" t="s">
        <v>473</v>
      </c>
    </row>
    <row r="22" spans="1:7">
      <c r="A22" s="293" t="s">
        <v>511</v>
      </c>
      <c r="B22" s="274" t="s"/>
      <c r="C22" s="294" t="s">
        <v>510</v>
      </c>
      <c r="D22" s="294" t="s">
        <v>473</v>
      </c>
      <c r="E22" s="294" t="s">
        <v>474</v>
      </c>
      <c r="F22" s="295" t="s">
        <v>512</v>
      </c>
      <c r="G22" s="257" t="s">
        <v>513</v>
      </c>
    </row>
    <row r="23" spans="1:6">
      <c r="A23" s="284" t="s"/>
      <c r="B23" s="70" t="s"/>
      <c r="C23" s="296" t="s">
        <v>514</v>
      </c>
      <c r="D23" s="296" t="s">
        <v>478</v>
      </c>
      <c r="E23" s="296" t="s">
        <v>479</v>
      </c>
      <c r="F23" s="295" t="s">
        <v>480</v>
      </c>
    </row>
    <row r="24" spans="1:6">
      <c r="A24" s="284" t="s"/>
      <c r="B24" s="70" t="s"/>
      <c r="C24" s="296" t="s">
        <v>481</v>
      </c>
      <c r="D24" s="296" t="s">
        <v>515</v>
      </c>
      <c r="E24" s="296" t="s">
        <v>484</v>
      </c>
      <c r="F24" s="295" t="s">
        <v>485</v>
      </c>
    </row>
    <row r="25" spans="1:6">
      <c r="A25" s="297" t="s"/>
      <c r="B25" s="277" t="s">
        <v>516</v>
      </c>
      <c r="C25" s="294" t="s">
        <v>486</v>
      </c>
      <c r="D25" s="294" t="s">
        <v>488</v>
      </c>
      <c r="E25" s="294" t="s">
        <v>489</v>
      </c>
      <c r="F25" s="295" t="s">
        <v>490</v>
      </c>
    </row>
    <row r="26" spans="1:7">
      <c r="A26" s="314" t="s">
        <v>552</v>
      </c>
      <c r="B26" s="298" t="s"/>
      <c r="C26" s="298" t="s"/>
      <c r="D26" s="298" t="s"/>
      <c r="E26" s="298" t="s"/>
      <c r="F26" s="299" t="s"/>
      <c r="G26" s="257" t="s">
        <v>553</v>
      </c>
    </row>
    <row r="27" spans="1:6">
      <c r="A27" s="284" t="s"/>
      <c r="F27" s="300" t="s"/>
    </row>
    <row r="28" spans="1:6">
      <c r="A28" s="284" t="s"/>
      <c r="F28" s="300" t="s"/>
    </row>
    <row r="29" spans="1:6">
      <c r="A29" s="289" t="s"/>
      <c r="B29" s="126" t="s"/>
      <c r="C29" s="126" t="s"/>
      <c r="D29" s="126" t="s"/>
      <c r="E29" s="126" t="s"/>
      <c r="F29" s="301" t="s"/>
    </row>
  </sheetData>
  <mergeCells count="11">
    <mergeCell ref="A5:A6"/>
    <mergeCell ref="B10:B11"/>
    <mergeCell ref="A10:A11"/>
    <mergeCell ref="A14:A17"/>
    <mergeCell ref="A18:A21"/>
    <mergeCell ref="A22:A25"/>
    <mergeCell ref="G18:G21"/>
    <mergeCell ref="G14:G17"/>
    <mergeCell ref="G22:G25"/>
    <mergeCell ref="A26:A29"/>
    <mergeCell ref="G26:G29"/>
  </mergeCells>
  <hyperlinks>
    <hyperlink ref="B2" r:id="rId0"/>
    <hyperlink ref="B4" r:id="rId1"/>
    <hyperlink ref="B5" r:id="rId2"/>
    <hyperlink ref="B6" r:id="rId3"/>
    <hyperlink ref="B8" r:id="rId4"/>
    <hyperlink ref="B9" r:id="rId5"/>
    <hyperlink ref="B10" r:id="rId6"/>
  </hyperlinks>
</worksheet>
</file>

<file path=xl/worksheets/sheet6.xml><?xml version="1.0" encoding="utf-8"?>
<worksheet xmlns="http://schemas.openxmlformats.org/spreadsheetml/2006/main">
  <sheetPr codeName="留言">
    <tabColor/>
  </sheetPr>
  <dimension ref="A42"/>
  <sheetViews>
    <sheetView showGridLines="1" workbookViewId="0"/>
  </sheetViews>
  <sheetFormatPr baseColWidth="13" defaultRowHeight="18" customHeight="1"/>
  <cols>
    <col min="8" max="8" width="20.7227" customWidth="1"/>
  </cols>
  <sheetData>
    <row r="1" spans="1:1">
      <c r="A1" s="20" t="s">
        <v>518</v>
      </c>
    </row>
    <row r="2" spans="1:1">
      <c r="A2" s="20" t="s">
        <v>519</v>
      </c>
    </row>
    <row r="3" spans="1:1">
      <c r="A3" s="20" t="s">
        <v>520</v>
      </c>
    </row>
    <row r="4" spans="1:1">
      <c r="A4" s="20" t="s">
        <v>521</v>
      </c>
    </row>
    <row r="5" spans="1:8">
      <c r="A5" s="302" t="s"/>
      <c r="B5" s="188" t="s"/>
      <c r="C5" s="188" t="s"/>
      <c r="D5" s="188" t="s"/>
      <c r="E5" s="188" t="s"/>
      <c r="F5" s="188" t="s"/>
      <c r="G5" s="188" t="s"/>
      <c r="H5" s="188" t="s"/>
    </row>
    <row r="7" spans="1:2" s="330" customFormat="1">
      <c r="A7" s="303" t="s">
        <v>60</v>
      </c>
      <c r="B7" s="304" t="s">
        <v>522</v>
      </c>
    </row>
    <row r="8" spans="2:6" s="331" customFormat="1">
      <c r="B8" s="305" t="s">
        <v>523</v>
      </c>
      <c r="F8" s="306" t="s">
        <v>524</v>
      </c>
    </row>
    <row r="9" spans="2:6" s="332" customFormat="1">
      <c r="B9" s="307" t="s">
        <v>525</v>
      </c>
      <c r="F9" s="308" t="s">
        <v>526</v>
      </c>
    </row>
    <row r="10" spans="2:2" s="331" customFormat="1">
      <c r="B10" s="306" t="s">
        <v>527</v>
      </c>
    </row>
    <row r="11" spans="1:5" s="332" customFormat="1">
      <c r="A11" s="309" t="s"/>
      <c r="B11" s="310" t="s">
        <v>528</v>
      </c>
      <c r="C11" s="310" t="s"/>
      <c r="D11" s="310" t="s"/>
      <c r="E11" s="311" t="s">
        <v>529</v>
      </c>
    </row>
    <row r="12" spans="2:2" s="330" customFormat="1">
      <c r="B12" s="312" t="s">
        <v>530</v>
      </c>
    </row>
    <row r="14" spans="1:1" s="265" customFormat="1">
      <c r="A14" s="265" t="s">
        <v>531</v>
      </c>
    </row>
    <row r="15" spans="1:1" s="264" customFormat="1">
      <c r="A15" s="313" t="s">
        <v>532</v>
      </c>
    </row>
    <row r="16" spans="1:1" s="264" customFormat="1">
      <c r="A16" s="265" t="s">
        <v>533</v>
      </c>
    </row>
    <row r="18" spans="1:1">
      <c r="A18" t="s">
        <v>534</v>
      </c>
    </row>
    <row r="19" spans="1:1">
      <c r="A19" t="s">
        <v>535</v>
      </c>
    </row>
    <row r="20" spans="1:1">
      <c r="A20" t="s">
        <v>536</v>
      </c>
    </row>
    <row r="21" spans="1:1">
      <c r="A21" t="s">
        <v>537</v>
      </c>
    </row>
    <row r="22" spans="1:1">
      <c r="A22" t="s">
        <v>538</v>
      </c>
    </row>
    <row r="23" spans="1:1">
      <c r="A23" t="s">
        <v>539</v>
      </c>
    </row>
    <row r="24" spans="1:1">
      <c r="A24" t="s">
        <v>540</v>
      </c>
    </row>
    <row r="27" spans="1:1">
      <c r="A27" t="s">
        <v>541</v>
      </c>
    </row>
    <row r="28" spans="1:1">
      <c r="A28" t="s">
        <v>542</v>
      </c>
    </row>
    <row r="29" spans="1:1">
      <c r="A29" t="s">
        <v>543</v>
      </c>
    </row>
    <row r="30" spans="1:1">
      <c r="A30" t="s">
        <v>544</v>
      </c>
    </row>
    <row r="31" spans="1:1">
      <c r="A31" t="s">
        <v>545</v>
      </c>
    </row>
    <row r="32" spans="1:1">
      <c r="A32" t="s">
        <v>546</v>
      </c>
    </row>
    <row r="34" spans="1:1">
      <c r="A34" t="s">
        <v>547</v>
      </c>
    </row>
    <row r="35" spans="1:1">
      <c r="A35" t="s">
        <v>548</v>
      </c>
    </row>
    <row r="38" spans="1:1">
      <c r="A38" t="s">
        <v>549</v>
      </c>
    </row>
    <row r="39" spans="1:1">
      <c r="A39" t="s">
        <v>550</v>
      </c>
    </row>
    <row r="41" spans="1:1">
      <c r="A41" t="s">
        <v>551</v>
      </c>
    </row>
    <row r="42" spans="1:1">
      <c r="A42" t="s">
        <v>556</v>
      </c>
    </row>
  </sheetData>
  <mergeCells count="6">
    <mergeCell ref="A1:H1"/>
    <mergeCell ref="A2:H2"/>
    <mergeCell ref="A3:H3"/>
    <mergeCell ref="A4:H4"/>
    <mergeCell ref="A34:F34"/>
    <mergeCell ref="A7:A12"/>
  </mergeCells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Tencent office</Application>
</Properties>
</file>

<file path=docProps/core.xml><?xml version="1.0" encoding="utf-8"?>
<cp:coreProperties xmlns:xsi="http://www.w3.org/2001/XMLSchema-instance" xmlns:dcmitype="http://purl.org/dc/dcmitype/" xmlns:dcterms="http://purl.org/dc/terms/" xmlns:cp="http://schemas.openxmlformats.org/package/2006/metadata/core-properties" xmlns:dc="http://purl.org/dc/elements/1.1/">
  <dcterms:created xsi:type="dcterms:W3CDTF">2026-10-01T23:32:21Z</dcterms:created>
  <dcterms:modified xsi:type="dcterms:W3CDTF">2026-10-01T23:32:21Z</dcterms:modified>
</cp:coreProperties>
</file>